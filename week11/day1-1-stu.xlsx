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Jindanet\Downloads\"/>
    </mc:Choice>
  </mc:AlternateContent>
  <xr:revisionPtr revIDLastSave="0" documentId="13_ncr:1_{364682B3-E96B-4FA4-B2B7-E835F966820B}" xr6:coauthVersionLast="36" xr6:coauthVersionMax="45" xr10:uidLastSave="{00000000-0000-0000-0000-000000000000}"/>
  <bookViews>
    <workbookView xWindow="0" yWindow="0" windowWidth="28800" windowHeight="12225" activeTab="13" xr2:uid="{00000000-000D-0000-FFFF-FFFF00000000}"/>
  </bookViews>
  <sheets>
    <sheet name="fn1" sheetId="1" r:id="rId1"/>
    <sheet name="fn2" sheetId="2" r:id="rId2"/>
    <sheet name="sumif" sheetId="3" r:id="rId3"/>
    <sheet name="sumifs" sheetId="4" r:id="rId4"/>
    <sheet name="sumproduct" sheetId="5" r:id="rId5"/>
    <sheet name="averageif" sheetId="6" r:id="rId6"/>
    <sheet name="count" sheetId="7" r:id="rId7"/>
    <sheet name="datetime" sheetId="8" r:id="rId8"/>
    <sheet name="networkdays" sheetId="9" r:id="rId9"/>
    <sheet name="PMT" sheetId="10" r:id="rId10"/>
    <sheet name="PV" sheetId="11" r:id="rId11"/>
    <sheet name="DB" sheetId="12" r:id="rId12"/>
    <sheet name="cond-format" sheetId="13" r:id="rId13"/>
    <sheet name="Sheet1" sheetId="14" r:id="rId14"/>
  </sheets>
  <definedNames>
    <definedName name="_xlnm._FilterDatabase" localSheetId="13" hidden="1">Sheet1!$A$2:$F$12</definedName>
  </definedNames>
  <calcPr calcId="179021"/>
  <extLst>
    <ext uri="GoogleSheetsCustomDataVersion1">
      <go:sheetsCustomData xmlns:go="http://customooxmlschemas.google.com/" r:id="rId17" roundtripDataSignature="AMtx7mg/bCLFmPLofb6L9aTc0ZuPAEer0w=="/>
    </ext>
  </extLst>
</workbook>
</file>

<file path=xl/calcChain.xml><?xml version="1.0" encoding="utf-8"?>
<calcChain xmlns="http://schemas.openxmlformats.org/spreadsheetml/2006/main">
  <c r="E12" i="14" l="1"/>
  <c r="F12" i="14" s="1"/>
  <c r="E4" i="14"/>
  <c r="F4" i="14" s="1"/>
  <c r="E9" i="14"/>
  <c r="F9" i="14" s="1"/>
  <c r="E3" i="14"/>
  <c r="F3" i="14" s="1"/>
  <c r="E5" i="14"/>
  <c r="F5" i="14" s="1"/>
  <c r="E7" i="14"/>
  <c r="F7" i="14" s="1"/>
  <c r="E10" i="14"/>
  <c r="F10" i="14" s="1"/>
  <c r="E6" i="14"/>
  <c r="F6" i="14" s="1"/>
  <c r="E8" i="14"/>
  <c r="F8" i="14" s="1"/>
  <c r="E11" i="14"/>
  <c r="F11" i="14" s="1"/>
  <c r="E2" i="14"/>
  <c r="F2" i="14" s="1"/>
  <c r="O4" i="13"/>
  <c r="N4" i="13"/>
  <c r="O5" i="13"/>
  <c r="N5" i="13"/>
  <c r="O3" i="13"/>
  <c r="N3" i="13"/>
  <c r="G13" i="13"/>
  <c r="G7" i="13"/>
  <c r="G8" i="13"/>
  <c r="G10" i="13"/>
  <c r="G11" i="13"/>
  <c r="G12" i="13"/>
  <c r="G9" i="13"/>
  <c r="G4" i="13"/>
  <c r="G5" i="13"/>
  <c r="G6" i="13"/>
  <c r="G3" i="13"/>
  <c r="F10" i="5"/>
  <c r="F8" i="5"/>
  <c r="G6" i="5"/>
  <c r="G3" i="5"/>
  <c r="G4" i="5"/>
  <c r="G5" i="5"/>
  <c r="G2" i="5"/>
  <c r="F4" i="13"/>
  <c r="F5" i="13"/>
  <c r="F6" i="13"/>
  <c r="F7" i="13"/>
  <c r="F8" i="13"/>
  <c r="F9" i="13"/>
  <c r="F10" i="13"/>
  <c r="F11" i="13"/>
  <c r="F12" i="13"/>
  <c r="F13" i="13"/>
  <c r="F3" i="13"/>
  <c r="E6" i="5"/>
  <c r="E3" i="5"/>
  <c r="E4" i="5"/>
  <c r="E5" i="5"/>
  <c r="E2" i="5"/>
  <c r="G17" i="4"/>
  <c r="G11" i="4"/>
  <c r="G3" i="4"/>
  <c r="C20" i="3"/>
  <c r="E17" i="3"/>
  <c r="E22" i="3"/>
  <c r="E14" i="3"/>
  <c r="C14" i="3"/>
  <c r="C21" i="3"/>
  <c r="C22" i="3"/>
  <c r="E3" i="3"/>
  <c r="E4" i="3"/>
  <c r="E5" i="3"/>
  <c r="E6" i="3"/>
  <c r="E7" i="3"/>
  <c r="E8" i="3"/>
  <c r="E9" i="3"/>
  <c r="E10" i="3"/>
  <c r="E11" i="3"/>
  <c r="E12" i="3"/>
  <c r="E13" i="3"/>
  <c r="C16" i="2"/>
  <c r="D16" i="2"/>
  <c r="C17" i="2"/>
  <c r="D17" i="2"/>
  <c r="C18" i="2"/>
  <c r="D18" i="2"/>
  <c r="C19" i="2"/>
  <c r="D19" i="2"/>
  <c r="C20" i="2"/>
  <c r="D20" i="2"/>
  <c r="B16" i="2"/>
  <c r="B20" i="2"/>
  <c r="B19" i="2"/>
  <c r="B18" i="2"/>
  <c r="B17" i="2"/>
  <c r="F3" i="1"/>
  <c r="F2" i="1"/>
  <c r="F6" i="1"/>
  <c r="F5" i="1"/>
  <c r="F4" i="1"/>
</calcChain>
</file>

<file path=xl/sharedStrings.xml><?xml version="1.0" encoding="utf-8"?>
<sst xmlns="http://schemas.openxmlformats.org/spreadsheetml/2006/main" count="373" uniqueCount="205">
  <si>
    <t>เดือน</t>
  </si>
  <si>
    <t>ยอดขาย</t>
  </si>
  <si>
    <t>January</t>
  </si>
  <si>
    <t>Total</t>
  </si>
  <si>
    <t>February</t>
  </si>
  <si>
    <t>Maximum</t>
  </si>
  <si>
    <t>March</t>
  </si>
  <si>
    <t>Minimum</t>
  </si>
  <si>
    <t>April</t>
  </si>
  <si>
    <t>Average</t>
  </si>
  <si>
    <t>May</t>
  </si>
  <si>
    <t>Count</t>
  </si>
  <si>
    <t>June</t>
  </si>
  <si>
    <t>July</t>
  </si>
  <si>
    <t>August</t>
  </si>
  <si>
    <t>September</t>
  </si>
  <si>
    <t>October</t>
  </si>
  <si>
    <t>November</t>
  </si>
  <si>
    <t>December</t>
  </si>
  <si>
    <t>ยอดขาย 2558</t>
  </si>
  <si>
    <t>ยอดขาย 2559</t>
  </si>
  <si>
    <t>ยอดขาย 2560</t>
  </si>
  <si>
    <t>ราคาเงินสด</t>
  </si>
  <si>
    <t>รายการ</t>
  </si>
  <si>
    <t>สินค้า</t>
  </si>
  <si>
    <t>ยอดสั่งซื้อ</t>
  </si>
  <si>
    <t>ราคา (กล่อง)</t>
  </si>
  <si>
    <t>รวมเงิน</t>
  </si>
  <si>
    <t>ส้ม</t>
  </si>
  <si>
    <t>แอปเปิ้ล</t>
  </si>
  <si>
    <t>กีวี่</t>
  </si>
  <si>
    <t>องุ่นดำ</t>
  </si>
  <si>
    <t>องุ่นเขียว</t>
  </si>
  <si>
    <t>มะม่วง</t>
  </si>
  <si>
    <t>ลองกอง</t>
  </si>
  <si>
    <t>ทุเรียน</t>
  </si>
  <si>
    <t>มังคุด</t>
  </si>
  <si>
    <t>เชอรี่</t>
  </si>
  <si>
    <t>ยอดรวม</t>
  </si>
  <si>
    <t>%การขาย</t>
  </si>
  <si>
    <t>จำนวน</t>
  </si>
  <si>
    <t>ผู้จัดส่ง</t>
  </si>
  <si>
    <t>ทุกชนิด</t>
  </si>
  <si>
    <t>กำจร</t>
  </si>
  <si>
    <t>สมชาย</t>
  </si>
  <si>
    <t>&gt;200</t>
  </si>
  <si>
    <t>รวม</t>
  </si>
  <si>
    <t>นวพล</t>
  </si>
  <si>
    <t>วันที่สั่งซื้อ</t>
  </si>
  <si>
    <t>ชื่อสินค้า</t>
  </si>
  <si>
    <t>ราคา</t>
  </si>
  <si>
    <t>ส่วนลด</t>
  </si>
  <si>
    <t>สมุดบันทึก</t>
  </si>
  <si>
    <t>กบเหลาดินสอ</t>
  </si>
  <si>
    <t>ปากกา</t>
  </si>
  <si>
    <t>รวมรายได้</t>
  </si>
  <si>
    <t>ผลิตภัณฑ์</t>
  </si>
  <si>
    <t>นำเข้า</t>
  </si>
  <si>
    <t>ต้นทุน</t>
  </si>
  <si>
    <t>ราคาขาย</t>
  </si>
  <si>
    <t>กำไรสุทธิ</t>
  </si>
  <si>
    <t>Lotion</t>
  </si>
  <si>
    <t>JAPAN</t>
  </si>
  <si>
    <t>หาค่าเฉลี่ยกำไรสุทธิ</t>
  </si>
  <si>
    <t>Lipstic</t>
  </si>
  <si>
    <t>KOREA</t>
  </si>
  <si>
    <t xml:space="preserve">Serum </t>
  </si>
  <si>
    <t>BB Cream</t>
  </si>
  <si>
    <t>mask sheet</t>
  </si>
  <si>
    <t>Collagen</t>
  </si>
  <si>
    <t>Toner</t>
  </si>
  <si>
    <t>Bath Cream</t>
  </si>
  <si>
    <t>Foundation</t>
  </si>
  <si>
    <t>Concealer</t>
  </si>
  <si>
    <t>Oil</t>
  </si>
  <si>
    <t>Eye Cream</t>
  </si>
  <si>
    <t>ทั้งหมด</t>
  </si>
  <si>
    <t>Lip Gloss</t>
  </si>
  <si>
    <t>ลำดับ</t>
  </si>
  <si>
    <t>พนักงาน</t>
  </si>
  <si>
    <t>มกราคม</t>
  </si>
  <si>
    <t>กุมภาพันธ์</t>
  </si>
  <si>
    <t>มีนาคม</t>
  </si>
  <si>
    <t>ยอดขายรวม</t>
  </si>
  <si>
    <t>Kanda</t>
  </si>
  <si>
    <t>Varissa</t>
  </si>
  <si>
    <t>Manida</t>
  </si>
  <si>
    <t>Jetchada</t>
  </si>
  <si>
    <t>เดือนกุมภาพันธ์ต่ำกว่า 30000</t>
  </si>
  <si>
    <t>Urit</t>
  </si>
  <si>
    <t>Jinti</t>
  </si>
  <si>
    <t>Buntoon</t>
  </si>
  <si>
    <t>Ameka</t>
  </si>
  <si>
    <t>ยอดขายรวมกันเกิน 100000</t>
  </si>
  <si>
    <t>SasaThorr</t>
  </si>
  <si>
    <t>Angsana</t>
  </si>
  <si>
    <t>Yatika</t>
  </si>
  <si>
    <t>การจัดส่ง</t>
  </si>
  <si>
    <t>ออกสั่งซื้อ</t>
  </si>
  <si>
    <t>ราคา(กล่อง)</t>
  </si>
  <si>
    <t>วันที่สั่งของ</t>
  </si>
  <si>
    <t>วัน/ส่ง</t>
  </si>
  <si>
    <t>วันที่ส่งของ</t>
  </si>
  <si>
    <t>โครงการทำงานส่งอาจารย์</t>
  </si>
  <si>
    <t xml:space="preserve"> ลำดับ</t>
  </si>
  <si>
    <t>งาน</t>
  </si>
  <si>
    <t>วันเริ่ม</t>
  </si>
  <si>
    <t>วันจบ</t>
  </si>
  <si>
    <t>จำนวนวัน</t>
  </si>
  <si>
    <t>ตารางวันหยุด</t>
  </si>
  <si>
    <t>วัน</t>
  </si>
  <si>
    <t>รวบรวมข้อมูล</t>
  </si>
  <si>
    <t>วันจักรี</t>
  </si>
  <si>
    <t>แยกและวิเคราะห์ข้อมูล</t>
  </si>
  <si>
    <t>13-15 เม.ย. 59</t>
  </si>
  <si>
    <t>วันสงกรานต์</t>
  </si>
  <si>
    <t>ออกแบบและสร้างสไลด์</t>
  </si>
  <si>
    <t>วันแรงงาน</t>
  </si>
  <si>
    <t>รีวิวและทดสอบงานนำเสนอ</t>
  </si>
  <si>
    <t>วันฉัตรมงคล</t>
  </si>
  <si>
    <t>รวมระยะเวลา</t>
  </si>
  <si>
    <t>สรุปวันทำงานจริง</t>
  </si>
  <si>
    <t>หาอัตราชำระเงินค่าบ้าน</t>
  </si>
  <si>
    <t>หาค่างวดซื้อรถยนต์</t>
  </si>
  <si>
    <t>อัตราดอกเบี้ย (ต่อปี)</t>
  </si>
  <si>
    <t>ต่อปี</t>
  </si>
  <si>
    <t>rate</t>
  </si>
  <si>
    <t>ราคารถ</t>
  </si>
  <si>
    <t>บาท</t>
  </si>
  <si>
    <t>ระยะเวลาเดือน</t>
  </si>
  <si>
    <t>nper</t>
  </si>
  <si>
    <t>เงินดาวน์ 25 %</t>
  </si>
  <si>
    <t>จำนวนเงินกู้</t>
  </si>
  <si>
    <t>pv</t>
  </si>
  <si>
    <t>ยอดจัดไฟแนนซ์</t>
  </si>
  <si>
    <t>อัตราดอกเบี้ย</t>
  </si>
  <si>
    <t>%</t>
  </si>
  <si>
    <t>จำนวนงวด</t>
  </si>
  <si>
    <t>ปี</t>
  </si>
  <si>
    <t>ค่างวดผ่อนชำระรายเดือน</t>
  </si>
  <si>
    <t>คำนวณหามูลค่าเงินที่ลงทุน</t>
  </si>
  <si>
    <t>คำนวณมูลค่าเงินออม</t>
  </si>
  <si>
    <t>ดอกเบี้ย</t>
  </si>
  <si>
    <t>ระยะเวลา</t>
  </si>
  <si>
    <t>จำนวนเงินที่จ่าย</t>
  </si>
  <si>
    <t>pmt</t>
  </si>
  <si>
    <t>มูลค่าในอนาคต</t>
  </si>
  <si>
    <t>fv</t>
  </si>
  <si>
    <t>เงินออมที่มีอยู่</t>
  </si>
  <si>
    <t>ชำระเงิน(ต้นงวด)</t>
  </si>
  <si>
    <t>tyoe</t>
  </si>
  <si>
    <t>ฝากเงิน ต้นเดือน</t>
  </si>
  <si>
    <t>จำนวนเงินรวมที่ลงทุน</t>
  </si>
  <si>
    <t>บาท/เดือน</t>
  </si>
  <si>
    <t>คิดค่าเสื่อมราคาสินทรัพย์</t>
  </si>
  <si>
    <t>ค่าเสื่อมแต่ละปี</t>
  </si>
  <si>
    <t>cost</t>
  </si>
  <si>
    <t>ราคาจริงของสินทรัพย์</t>
  </si>
  <si>
    <t>ปีที่ 1</t>
  </si>
  <si>
    <t>salvage</t>
  </si>
  <si>
    <t>ราคาเมือหมดอายุการใช้งาน</t>
  </si>
  <si>
    <t>ปีที่ 2</t>
  </si>
  <si>
    <t>life</t>
  </si>
  <si>
    <t>อายุการใช้งาน (ปี)</t>
  </si>
  <si>
    <t>ปีที่ 3</t>
  </si>
  <si>
    <t>period</t>
  </si>
  <si>
    <t>ช่วงเวลาที่ต้องการคำนวณ (ปี)</t>
  </si>
  <si>
    <t>month</t>
  </si>
  <si>
    <t>จำนวนเดือนในปีแรกที่เริ่มคิดค่าเสื่อมราคา</t>
  </si>
  <si>
    <t>ค่าเสื่อมราคาของปีแรก</t>
  </si>
  <si>
    <t>สรุปยอดขายพนักงาน ไตรมาส 1</t>
  </si>
  <si>
    <t>ค่าคอมมิชชั่น</t>
  </si>
  <si>
    <t>ต้องชำระต่อเดือน ต้นงวด</t>
  </si>
  <si>
    <t>ต้องชำระต่อเดือน สิ้นงวด</t>
  </si>
  <si>
    <t>type=1</t>
  </si>
  <si>
    <t>Type=0</t>
  </si>
  <si>
    <t>type</t>
  </si>
  <si>
    <t>จำนวนยอดสั่งซื้อ</t>
  </si>
  <si>
    <t>ยอดขาย รวมเงิน</t>
  </si>
  <si>
    <t>SUMIF</t>
  </si>
  <si>
    <t>เงื่อนไขเดียว</t>
  </si>
  <si>
    <t>สองเงื่อนไข</t>
  </si>
  <si>
    <t>&gt;150</t>
  </si>
  <si>
    <t>*</t>
  </si>
  <si>
    <t>สามเงื่อนไข  ** ออกสอบ</t>
  </si>
  <si>
    <t>1เงื่อนไข</t>
  </si>
  <si>
    <t>2เงื่อนไข</t>
  </si>
  <si>
    <t>**</t>
  </si>
  <si>
    <t>รายได้สุทธิ หลังหักส่วนลด</t>
  </si>
  <si>
    <t>ส่วนลดบาท</t>
  </si>
  <si>
    <t>=C2*D2*F2</t>
  </si>
  <si>
    <t>=300*70*0.1</t>
  </si>
  <si>
    <t>=300*70*0.9</t>
  </si>
  <si>
    <t>=300*70*100%-10%</t>
  </si>
  <si>
    <t>=300*70*1-10%</t>
  </si>
  <si>
    <t>&gt;50000 = 2%</t>
  </si>
  <si>
    <t>&gt;80000 = 3%</t>
  </si>
  <si>
    <t>&gt;100000 = 5%</t>
  </si>
  <si>
    <t>&gt;=100000 = เขียว ลูกศร ขึ้น</t>
  </si>
  <si>
    <t>&lt;100000 =  แดง ลูกศรลง</t>
  </si>
  <si>
    <t>LOOKUP</t>
  </si>
  <si>
    <t>VLOOKUP</t>
  </si>
  <si>
    <t>HLOOKUP</t>
  </si>
  <si>
    <t>XLOOKUP</t>
  </si>
  <si>
    <t>ชื่อพนักงาน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</si>
</sst>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฿&quot;#,##0.00;[Red]\-&quot;฿&quot;#,##0.00"/>
    <numFmt numFmtId="165" formatCode="[$-107041E]d\ mmm\ yy"/>
    <numFmt numFmtId="166" formatCode="[$-D070000]d/m/yy"/>
    <numFmt numFmtId="167" formatCode="d\ &quot;วัน&quot;\ \ hh:mm"/>
    <numFmt numFmtId="168" formatCode="_-* #,##0.00_-;\-* #,##0.00_-;_-* &quot;-&quot;??_-;_-@"/>
    <numFmt numFmtId="169" formatCode="&quot;THB&quot;#,##0.00;[Red]\-&quot;THB&quot;#,##0.00"/>
    <numFmt numFmtId="170" formatCode="d"/>
    <numFmt numFmtId="171" formatCode="hh:mm"/>
    <numFmt numFmtId="175" formatCode="&quot;$&quot;#,##0.00"/>
  </numFmts>
  <fonts count="9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Arial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7" borderId="0" applyNumberFormat="0" applyBorder="0" applyAlignment="0" applyProtection="0"/>
    <xf numFmtId="0" fontId="8" fillId="8" borderId="2" applyNumberFormat="0" applyAlignment="0" applyProtection="0"/>
  </cellStyleXfs>
  <cellXfs count="5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15" fontId="1" fillId="0" borderId="0" xfId="0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right"/>
    </xf>
    <xf numFmtId="166" fontId="1" fillId="0" borderId="0" xfId="0" applyNumberFormat="1" applyFont="1"/>
    <xf numFmtId="22" fontId="1" fillId="0" borderId="0" xfId="0" applyNumberFormat="1" applyFont="1"/>
    <xf numFmtId="167" fontId="1" fillId="0" borderId="0" xfId="0" applyNumberFormat="1" applyFont="1"/>
    <xf numFmtId="20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168" fontId="1" fillId="0" borderId="0" xfId="0" applyNumberFormat="1" applyFont="1"/>
    <xf numFmtId="2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0" fontId="0" fillId="0" borderId="0" xfId="0" applyFont="1" applyAlignment="1"/>
    <xf numFmtId="164" fontId="1" fillId="0" borderId="0" xfId="0" applyNumberFormat="1" applyFont="1"/>
    <xf numFmtId="0" fontId="0" fillId="0" borderId="1" xfId="0" applyFont="1" applyBorder="1" applyAlignment="1"/>
    <xf numFmtId="0" fontId="1" fillId="4" borderId="0" xfId="0" applyFont="1" applyFill="1"/>
    <xf numFmtId="0" fontId="1" fillId="0" borderId="1" xfId="0" applyFont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9" fontId="1" fillId="5" borderId="1" xfId="0" applyNumberFormat="1" applyFont="1" applyFill="1" applyBorder="1"/>
    <xf numFmtId="0" fontId="1" fillId="4" borderId="1" xfId="0" quotePrefix="1" applyFont="1" applyFill="1" applyBorder="1"/>
    <xf numFmtId="0" fontId="4" fillId="4" borderId="1" xfId="0" quotePrefix="1" applyFont="1" applyFill="1" applyBorder="1" applyAlignment="1"/>
    <xf numFmtId="0" fontId="1" fillId="0" borderId="0" xfId="0" quotePrefix="1" applyFont="1"/>
    <xf numFmtId="0" fontId="1" fillId="6" borderId="1" xfId="0" applyFont="1" applyFill="1" applyBorder="1" applyAlignment="1">
      <alignment horizontal="right"/>
    </xf>
    <xf numFmtId="0" fontId="5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4" borderId="0" xfId="0" applyFont="1" applyFill="1" applyAlignment="1">
      <alignment horizontal="center" vertical="center"/>
    </xf>
    <xf numFmtId="0" fontId="0" fillId="4" borderId="0" xfId="0" applyFont="1" applyFill="1" applyAlignment="1"/>
    <xf numFmtId="0" fontId="2" fillId="0" borderId="1" xfId="0" applyFont="1" applyBorder="1"/>
    <xf numFmtId="0" fontId="0" fillId="4" borderId="1" xfId="0" applyFont="1" applyFill="1" applyBorder="1" applyAlignment="1"/>
    <xf numFmtId="0" fontId="2" fillId="0" borderId="3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/>
    <xf numFmtId="43" fontId="0" fillId="0" borderId="1" xfId="1" applyFont="1" applyBorder="1" applyAlignment="1"/>
    <xf numFmtId="175" fontId="2" fillId="0" borderId="4" xfId="0" applyNumberFormat="1" applyFont="1" applyBorder="1"/>
    <xf numFmtId="175" fontId="2" fillId="0" borderId="8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/>
    <xf numFmtId="0" fontId="7" fillId="7" borderId="1" xfId="2" applyBorder="1"/>
    <xf numFmtId="0" fontId="8" fillId="8" borderId="2" xfId="3"/>
    <xf numFmtId="14" fontId="1" fillId="0" borderId="1" xfId="0" applyNumberFormat="1" applyFont="1" applyBorder="1"/>
    <xf numFmtId="9" fontId="1" fillId="0" borderId="1" xfId="0" applyNumberFormat="1" applyFont="1" applyBorder="1"/>
    <xf numFmtId="0" fontId="1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168" fontId="1" fillId="0" borderId="1" xfId="0" applyNumberFormat="1" applyFont="1" applyBorder="1"/>
  </cellXfs>
  <cellStyles count="4">
    <cellStyle name="Comma" xfId="1" builtinId="3"/>
    <cellStyle name="Good" xfId="2" builtinId="26"/>
    <cellStyle name="Input" xfId="3" builtinId="20"/>
    <cellStyle name="Normal" xfId="0" builtinId="0"/>
  </cellStyles>
  <dxfs count="24"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>
          <fgColor theme="9" tint="0.39994506668294322"/>
          <bgColor theme="9" tint="0.39991454817346722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5" formatCode="&quot;$&quot;#,##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E29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F71D7F-1403-4222-8A62-4CCEA327498F}" name="Table7" displayName="Table7" ref="A1:B13" totalsRowShown="0" headerRowDxfId="20" headerRowBorderDxfId="22" tableBorderDxfId="23" totalsRowBorderDxfId="21">
  <autoFilter ref="A1:B13" xr:uid="{C55C718B-5CB9-41B7-9DB3-C689A9EA6E3A}"/>
  <tableColumns count="2">
    <tableColumn id="1" xr3:uid="{BB712560-22D9-4A52-84F0-CD3935CCC754}" name="เดือน" dataDxfId="19"/>
    <tableColumn id="2" xr3:uid="{C2FCDC75-C86E-46B9-87C3-7F92EDC9DA43}" name="ยอดขาย" dataDxfId="1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="205" zoomScaleNormal="205" workbookViewId="0">
      <selection activeCell="F2" sqref="F2"/>
    </sheetView>
  </sheetViews>
  <sheetFormatPr defaultColWidth="12.625" defaultRowHeight="15" customHeight="1" x14ac:dyDescent="0.2"/>
  <cols>
    <col min="1" max="1" width="12.875" customWidth="1"/>
    <col min="2" max="2" width="14.875" customWidth="1"/>
    <col min="3" max="3" width="10.75" customWidth="1"/>
    <col min="4" max="4" width="9" customWidth="1"/>
    <col min="5" max="5" width="13.5" customWidth="1"/>
    <col min="6" max="6" width="16.875" customWidth="1"/>
    <col min="7" max="26" width="7.625" customWidth="1"/>
  </cols>
  <sheetData>
    <row r="1" spans="1:6" x14ac:dyDescent="0.25">
      <c r="A1" s="40" t="s">
        <v>0</v>
      </c>
      <c r="B1" s="41" t="s">
        <v>1</v>
      </c>
    </row>
    <row r="2" spans="1:6" x14ac:dyDescent="0.25">
      <c r="A2" s="39" t="s">
        <v>2</v>
      </c>
      <c r="B2" s="44">
        <v>45000</v>
      </c>
      <c r="E2" s="37" t="s">
        <v>3</v>
      </c>
      <c r="F2" s="38">
        <f>SUM(Table7[ยอดขาย])</f>
        <v>435500</v>
      </c>
    </row>
    <row r="3" spans="1:6" x14ac:dyDescent="0.25">
      <c r="A3" s="39" t="s">
        <v>4</v>
      </c>
      <c r="B3" s="44">
        <v>22000</v>
      </c>
      <c r="E3" s="37" t="s">
        <v>5</v>
      </c>
      <c r="F3" s="38">
        <f>MAX(Table7[ยอดขาย])</f>
        <v>50000</v>
      </c>
    </row>
    <row r="4" spans="1:6" x14ac:dyDescent="0.25">
      <c r="A4" s="39" t="s">
        <v>6</v>
      </c>
      <c r="B4" s="44">
        <v>32000</v>
      </c>
      <c r="E4" s="37" t="s">
        <v>7</v>
      </c>
      <c r="F4" s="38">
        <f>MIN(Table7[ยอดขาย])</f>
        <v>22000</v>
      </c>
    </row>
    <row r="5" spans="1:6" x14ac:dyDescent="0.25">
      <c r="A5" s="39" t="s">
        <v>8</v>
      </c>
      <c r="B5" s="44">
        <v>40000</v>
      </c>
      <c r="E5" s="37" t="s">
        <v>9</v>
      </c>
      <c r="F5" s="38">
        <f>AVERAGE(Table7[ยอดขาย])</f>
        <v>36291.666666666664</v>
      </c>
    </row>
    <row r="6" spans="1:6" x14ac:dyDescent="0.25">
      <c r="A6" s="39" t="s">
        <v>10</v>
      </c>
      <c r="B6" s="44">
        <v>29000</v>
      </c>
      <c r="E6" s="37" t="s">
        <v>11</v>
      </c>
      <c r="F6" s="38">
        <f>COUNT(Table7[ยอดขาย])</f>
        <v>12</v>
      </c>
    </row>
    <row r="7" spans="1:6" x14ac:dyDescent="0.25">
      <c r="A7" s="39" t="s">
        <v>12</v>
      </c>
      <c r="B7" s="44">
        <v>38000</v>
      </c>
    </row>
    <row r="8" spans="1:6" x14ac:dyDescent="0.25">
      <c r="A8" s="39" t="s">
        <v>13</v>
      </c>
      <c r="B8" s="44">
        <v>43000</v>
      </c>
    </row>
    <row r="9" spans="1:6" x14ac:dyDescent="0.25">
      <c r="A9" s="39" t="s">
        <v>14</v>
      </c>
      <c r="B9" s="44">
        <v>36000</v>
      </c>
    </row>
    <row r="10" spans="1:6" x14ac:dyDescent="0.25">
      <c r="A10" s="39" t="s">
        <v>15</v>
      </c>
      <c r="B10" s="44">
        <v>50000</v>
      </c>
    </row>
    <row r="11" spans="1:6" x14ac:dyDescent="0.25">
      <c r="A11" s="39" t="s">
        <v>16</v>
      </c>
      <c r="B11" s="44">
        <v>29800</v>
      </c>
    </row>
    <row r="12" spans="1:6" x14ac:dyDescent="0.25">
      <c r="A12" s="39" t="s">
        <v>17</v>
      </c>
      <c r="B12" s="44">
        <v>35700</v>
      </c>
    </row>
    <row r="13" spans="1:6" x14ac:dyDescent="0.25">
      <c r="A13" s="42" t="s">
        <v>18</v>
      </c>
      <c r="B13" s="45">
        <v>35000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3" zoomScale="175" zoomScaleNormal="175" workbookViewId="0">
      <selection activeCell="F18" sqref="F18"/>
    </sheetView>
  </sheetViews>
  <sheetFormatPr defaultColWidth="12.625" defaultRowHeight="15" customHeight="1" x14ac:dyDescent="0.2"/>
  <cols>
    <col min="1" max="1" width="11" customWidth="1"/>
    <col min="2" max="4" width="12.5" customWidth="1"/>
    <col min="5" max="5" width="12.625" customWidth="1"/>
    <col min="6" max="26" width="7.625" customWidth="1"/>
  </cols>
  <sheetData>
    <row r="1" spans="1:4" x14ac:dyDescent="0.25">
      <c r="A1" s="1" t="s">
        <v>0</v>
      </c>
      <c r="B1" s="1" t="s">
        <v>19</v>
      </c>
      <c r="C1" s="2" t="s">
        <v>20</v>
      </c>
      <c r="D1" s="1" t="s">
        <v>21</v>
      </c>
    </row>
    <row r="2" spans="1:4" x14ac:dyDescent="0.25">
      <c r="A2" s="2" t="s">
        <v>2</v>
      </c>
      <c r="B2" s="2">
        <v>45000</v>
      </c>
      <c r="C2" s="2">
        <v>148007</v>
      </c>
      <c r="D2" s="2">
        <v>7183</v>
      </c>
    </row>
    <row r="3" spans="1:4" x14ac:dyDescent="0.25">
      <c r="A3" s="2" t="s">
        <v>4</v>
      </c>
      <c r="B3" s="2">
        <v>22000</v>
      </c>
      <c r="C3" s="2">
        <v>94985</v>
      </c>
      <c r="D3" s="2">
        <v>144050</v>
      </c>
    </row>
    <row r="4" spans="1:4" x14ac:dyDescent="0.25">
      <c r="A4" s="2" t="s">
        <v>6</v>
      </c>
      <c r="B4" s="2">
        <v>32000</v>
      </c>
      <c r="C4" s="2">
        <v>12843</v>
      </c>
      <c r="D4" s="2">
        <v>38415</v>
      </c>
    </row>
    <row r="5" spans="1:4" x14ac:dyDescent="0.25">
      <c r="A5" s="2" t="s">
        <v>8</v>
      </c>
      <c r="B5" s="2">
        <v>40000</v>
      </c>
      <c r="C5" s="2">
        <v>66103</v>
      </c>
      <c r="D5" s="2">
        <v>59759</v>
      </c>
    </row>
    <row r="6" spans="1:4" x14ac:dyDescent="0.25">
      <c r="A6" s="2" t="s">
        <v>10</v>
      </c>
      <c r="B6" s="2">
        <v>29000</v>
      </c>
      <c r="C6" s="2">
        <v>122020</v>
      </c>
      <c r="D6" s="2">
        <v>92644</v>
      </c>
    </row>
    <row r="7" spans="1:4" x14ac:dyDescent="0.25">
      <c r="A7" s="2" t="s">
        <v>12</v>
      </c>
      <c r="B7" s="2">
        <v>38000</v>
      </c>
      <c r="C7" s="2">
        <v>52408</v>
      </c>
      <c r="D7" s="2">
        <v>67399</v>
      </c>
    </row>
    <row r="8" spans="1:4" x14ac:dyDescent="0.25">
      <c r="A8" s="2" t="s">
        <v>13</v>
      </c>
      <c r="B8" s="2">
        <v>43000</v>
      </c>
      <c r="C8" s="2">
        <v>49661</v>
      </c>
      <c r="D8" s="2">
        <v>18794</v>
      </c>
    </row>
    <row r="9" spans="1:4" x14ac:dyDescent="0.25">
      <c r="A9" s="2" t="s">
        <v>14</v>
      </c>
      <c r="B9" s="2">
        <v>36000</v>
      </c>
      <c r="C9" s="2">
        <v>31134</v>
      </c>
      <c r="D9" s="2">
        <v>135019</v>
      </c>
    </row>
    <row r="10" spans="1:4" x14ac:dyDescent="0.25">
      <c r="A10" s="2" t="s">
        <v>15</v>
      </c>
      <c r="B10" s="2">
        <v>50000</v>
      </c>
      <c r="C10" s="2">
        <v>129698</v>
      </c>
      <c r="D10" s="2">
        <v>80520</v>
      </c>
    </row>
    <row r="11" spans="1:4" x14ac:dyDescent="0.25">
      <c r="A11" s="2" t="s">
        <v>16</v>
      </c>
      <c r="B11" s="2">
        <v>29800</v>
      </c>
      <c r="C11" s="2">
        <v>97068</v>
      </c>
      <c r="D11" s="2">
        <v>108359</v>
      </c>
    </row>
    <row r="12" spans="1:4" x14ac:dyDescent="0.25">
      <c r="A12" s="2" t="s">
        <v>17</v>
      </c>
      <c r="B12" s="2">
        <v>35700</v>
      </c>
      <c r="C12" s="2">
        <v>89844</v>
      </c>
      <c r="D12" s="2">
        <v>17278</v>
      </c>
    </row>
    <row r="13" spans="1:4" x14ac:dyDescent="0.25">
      <c r="A13" s="2" t="s">
        <v>18</v>
      </c>
      <c r="B13" s="2">
        <v>35000</v>
      </c>
      <c r="C13" s="2">
        <v>14092</v>
      </c>
      <c r="D13" s="2">
        <v>125407</v>
      </c>
    </row>
    <row r="14" spans="1:4" ht="14.25" x14ac:dyDescent="0.2"/>
    <row r="15" spans="1:4" ht="14.25" x14ac:dyDescent="0.2"/>
    <row r="16" spans="1:4" x14ac:dyDescent="0.25">
      <c r="A16" s="2" t="s">
        <v>3</v>
      </c>
      <c r="B16" s="21">
        <f>SUM(B$2:B$13)</f>
        <v>435500</v>
      </c>
      <c r="C16" s="21">
        <f t="shared" ref="C16:D16" si="0">SUM(C$2:C$13)</f>
        <v>907863</v>
      </c>
      <c r="D16" s="21">
        <f t="shared" si="0"/>
        <v>894827</v>
      </c>
    </row>
    <row r="17" spans="1:4" x14ac:dyDescent="0.25">
      <c r="A17" s="2" t="s">
        <v>5</v>
      </c>
      <c r="B17" s="21">
        <f>MAX(B$2:B$13)</f>
        <v>50000</v>
      </c>
      <c r="C17" s="21">
        <f t="shared" ref="C17:D17" si="1">MAX(C$2:C$13)</f>
        <v>148007</v>
      </c>
      <c r="D17" s="21">
        <f t="shared" si="1"/>
        <v>144050</v>
      </c>
    </row>
    <row r="18" spans="1:4" x14ac:dyDescent="0.25">
      <c r="A18" s="2" t="s">
        <v>7</v>
      </c>
      <c r="B18" s="21">
        <f>MIN(B$2:B$13)</f>
        <v>22000</v>
      </c>
      <c r="C18" s="21">
        <f t="shared" ref="C18:D18" si="2">MIN(C$2:C$13)</f>
        <v>12843</v>
      </c>
      <c r="D18" s="21">
        <f t="shared" si="2"/>
        <v>7183</v>
      </c>
    </row>
    <row r="19" spans="1:4" x14ac:dyDescent="0.25">
      <c r="A19" s="2" t="s">
        <v>9</v>
      </c>
      <c r="B19" s="43">
        <f>AVERAGE(B$2:B$13)</f>
        <v>36291.666666666664</v>
      </c>
      <c r="C19" s="43">
        <f t="shared" ref="C19:D19" si="3">AVERAGE(C$2:C$13)</f>
        <v>75655.25</v>
      </c>
      <c r="D19" s="43">
        <f t="shared" si="3"/>
        <v>74568.916666666672</v>
      </c>
    </row>
    <row r="20" spans="1:4" x14ac:dyDescent="0.25">
      <c r="A20" s="2" t="s">
        <v>11</v>
      </c>
      <c r="B20" s="21">
        <f>COUNT(B$2:B$13)</f>
        <v>12</v>
      </c>
      <c r="C20" s="21">
        <f t="shared" ref="C20:D20" si="4">COUNT(C$2:C$13)</f>
        <v>12</v>
      </c>
      <c r="D20" s="21">
        <f t="shared" si="4"/>
        <v>12</v>
      </c>
    </row>
    <row r="21" spans="1:4" ht="15.75" customHeight="1" x14ac:dyDescent="0.2"/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zoomScale="130" zoomScaleNormal="130" workbookViewId="0">
      <selection activeCell="E20" sqref="E20"/>
    </sheetView>
  </sheetViews>
  <sheetFormatPr defaultColWidth="12.625" defaultRowHeight="15" customHeight="1" x14ac:dyDescent="0.2"/>
  <cols>
    <col min="1" max="1" width="9.5" customWidth="1"/>
    <col min="2" max="2" width="13.75" bestFit="1" customWidth="1"/>
    <col min="3" max="3" width="18.375" customWidth="1"/>
    <col min="4" max="4" width="17.25" customWidth="1"/>
    <col min="5" max="5" width="14" customWidth="1"/>
    <col min="6" max="6" width="12.75" customWidth="1"/>
    <col min="7" max="26" width="8" customWidth="1"/>
  </cols>
  <sheetData>
    <row r="1" spans="1:26" x14ac:dyDescent="0.25">
      <c r="A1" s="46" t="s">
        <v>22</v>
      </c>
      <c r="B1" s="47"/>
      <c r="C1" s="47"/>
      <c r="D1" s="47"/>
      <c r="E1" s="47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25" t="s">
        <v>23</v>
      </c>
      <c r="B2" s="25" t="s">
        <v>24</v>
      </c>
      <c r="C2" s="25" t="s">
        <v>25</v>
      </c>
      <c r="D2" s="25" t="s">
        <v>26</v>
      </c>
      <c r="E2" s="25" t="s">
        <v>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3">
        <v>1</v>
      </c>
      <c r="B3" s="23" t="s">
        <v>28</v>
      </c>
      <c r="C3" s="23">
        <v>50</v>
      </c>
      <c r="D3" s="23">
        <v>250</v>
      </c>
      <c r="E3" s="48">
        <f t="shared" ref="E3:E12" si="0">C3*D3</f>
        <v>12500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3">
        <v>2</v>
      </c>
      <c r="B4" s="23" t="s">
        <v>29</v>
      </c>
      <c r="C4" s="23">
        <v>50</v>
      </c>
      <c r="D4" s="23">
        <v>180</v>
      </c>
      <c r="E4" s="48">
        <f t="shared" si="0"/>
        <v>9000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3">
        <v>3</v>
      </c>
      <c r="B5" s="23" t="s">
        <v>30</v>
      </c>
      <c r="C5" s="23">
        <v>45</v>
      </c>
      <c r="D5" s="23">
        <v>300</v>
      </c>
      <c r="E5" s="48">
        <f t="shared" si="0"/>
        <v>13500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3">
        <v>4</v>
      </c>
      <c r="B6" s="23" t="s">
        <v>31</v>
      </c>
      <c r="C6" s="23">
        <v>38</v>
      </c>
      <c r="D6" s="23">
        <v>800</v>
      </c>
      <c r="E6" s="48">
        <f t="shared" si="0"/>
        <v>30400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3">
        <v>5</v>
      </c>
      <c r="B7" s="23" t="s">
        <v>32</v>
      </c>
      <c r="C7" s="23">
        <v>40</v>
      </c>
      <c r="D7" s="23">
        <v>540</v>
      </c>
      <c r="E7" s="48">
        <f t="shared" si="0"/>
        <v>21600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3">
        <v>6</v>
      </c>
      <c r="B8" s="23" t="s">
        <v>33</v>
      </c>
      <c r="C8" s="23">
        <v>25</v>
      </c>
      <c r="D8" s="23">
        <v>380</v>
      </c>
      <c r="E8" s="48">
        <f t="shared" si="0"/>
        <v>9500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3">
        <v>7</v>
      </c>
      <c r="B9" s="23" t="s">
        <v>34</v>
      </c>
      <c r="C9" s="23">
        <v>40</v>
      </c>
      <c r="D9" s="23">
        <v>420</v>
      </c>
      <c r="E9" s="48">
        <f t="shared" si="0"/>
        <v>16800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4">
        <v>8</v>
      </c>
      <c r="B10" s="24" t="s">
        <v>35</v>
      </c>
      <c r="C10" s="24">
        <v>35</v>
      </c>
      <c r="D10" s="24">
        <v>1200</v>
      </c>
      <c r="E10" s="48">
        <f t="shared" si="0"/>
        <v>42000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3">
        <v>9</v>
      </c>
      <c r="B11" s="23" t="s">
        <v>36</v>
      </c>
      <c r="C11" s="23">
        <v>45</v>
      </c>
      <c r="D11" s="23">
        <v>600</v>
      </c>
      <c r="E11" s="48">
        <f t="shared" si="0"/>
        <v>27000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3">
        <v>10</v>
      </c>
      <c r="B12" s="23" t="s">
        <v>37</v>
      </c>
      <c r="C12" s="23">
        <v>40</v>
      </c>
      <c r="D12" s="23">
        <v>1500</v>
      </c>
      <c r="E12" s="48">
        <f t="shared" si="0"/>
        <v>60000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19" customFormat="1" x14ac:dyDescent="0.25">
      <c r="A13" s="24">
        <v>11</v>
      </c>
      <c r="B13" s="24" t="s">
        <v>35</v>
      </c>
      <c r="C13" s="24">
        <v>100</v>
      </c>
      <c r="D13" s="24">
        <v>1200</v>
      </c>
      <c r="E13" s="48">
        <f>C13*D13</f>
        <v>120000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23" t="s">
        <v>38</v>
      </c>
      <c r="C14" s="23">
        <f>SUM($C$3:$C$13)</f>
        <v>508</v>
      </c>
      <c r="D14" s="23"/>
      <c r="E14" s="23">
        <f>SUM(E3:E13)</f>
        <v>362300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>
        <f>SUM(E3:E13)</f>
        <v>362300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25" t="s">
        <v>24</v>
      </c>
      <c r="C19" s="25" t="s">
        <v>35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23" t="s">
        <v>39</v>
      </c>
      <c r="C20" s="26">
        <f>C22/SUM(E3:E13)</f>
        <v>0.44714325144907535</v>
      </c>
      <c r="D20" s="3"/>
      <c r="E20" s="3"/>
      <c r="F20" s="1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23" t="s">
        <v>177</v>
      </c>
      <c r="C21" s="27">
        <f>SUMIF($B$3:$B$13,C19,$C$3:$C$13)</f>
        <v>135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23" t="s">
        <v>178</v>
      </c>
      <c r="C22" s="27">
        <f>SUMIF($B$3:$B$13,C19,$E$3:$E$13)</f>
        <v>162000</v>
      </c>
      <c r="D22" s="3"/>
      <c r="E22" s="13">
        <f>C22/E17</f>
        <v>0.44714325144907535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">
    <mergeCell ref="A1:E1"/>
  </mergeCells>
  <dataValidations count="1">
    <dataValidation type="list" allowBlank="1" showInputMessage="1" showErrorMessage="1" sqref="C19" xr:uid="{B845296E-0A5A-4CC8-B0E9-F7B67B8204EF}">
      <formula1>$B$3:$B$13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1"/>
  <sheetViews>
    <sheetView zoomScale="145" zoomScaleNormal="145" workbookViewId="0">
      <selection activeCell="G16" sqref="G16"/>
    </sheetView>
  </sheetViews>
  <sheetFormatPr defaultColWidth="12.625" defaultRowHeight="15" customHeight="1" x14ac:dyDescent="0.2"/>
  <cols>
    <col min="1" max="1" width="9.75" customWidth="1"/>
    <col min="2" max="2" width="10.5" customWidth="1"/>
    <col min="3" max="5" width="8" customWidth="1"/>
    <col min="6" max="6" width="13.625" customWidth="1"/>
    <col min="7" max="7" width="25.75" customWidth="1"/>
    <col min="8" max="8" width="10.875" customWidth="1"/>
    <col min="9" max="26" width="8" customWidth="1"/>
  </cols>
  <sheetData>
    <row r="1" spans="1:26" x14ac:dyDescent="0.25">
      <c r="A1" s="25" t="s">
        <v>24</v>
      </c>
      <c r="B1" s="25" t="s">
        <v>41</v>
      </c>
      <c r="C1" s="25" t="s">
        <v>40</v>
      </c>
      <c r="D1" s="3"/>
      <c r="E1" s="3"/>
      <c r="F1" s="25" t="s">
        <v>24</v>
      </c>
      <c r="G1" s="25" t="s">
        <v>42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23" t="s">
        <v>28</v>
      </c>
      <c r="B2" s="23" t="s">
        <v>43</v>
      </c>
      <c r="C2" s="23">
        <v>250</v>
      </c>
      <c r="D2" s="3"/>
      <c r="E2" s="3"/>
      <c r="F2" s="23" t="s">
        <v>41</v>
      </c>
      <c r="G2" s="49" t="s">
        <v>44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4" t="s">
        <v>34</v>
      </c>
      <c r="B3" s="24" t="s">
        <v>44</v>
      </c>
      <c r="C3" s="24">
        <v>200</v>
      </c>
      <c r="D3" s="3" t="s">
        <v>183</v>
      </c>
      <c r="E3" s="3"/>
      <c r="F3" s="25" t="s">
        <v>46</v>
      </c>
      <c r="G3" s="28">
        <f>SUMIFS($C$2:$C$11,$B$2:$B$11,$G$2,$C$2:$C$11,$G$10)</f>
        <v>680</v>
      </c>
      <c r="H3" s="3" t="s">
        <v>180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3" t="s">
        <v>30</v>
      </c>
      <c r="B4" s="23" t="s">
        <v>43</v>
      </c>
      <c r="C4" s="23">
        <v>300</v>
      </c>
      <c r="D4" s="3"/>
      <c r="E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4" t="s">
        <v>31</v>
      </c>
      <c r="B5" s="24" t="s">
        <v>44</v>
      </c>
      <c r="C5" s="24">
        <v>200</v>
      </c>
      <c r="D5" s="3" t="s">
        <v>183</v>
      </c>
      <c r="E5" s="3"/>
      <c r="F5" s="3" t="s">
        <v>179</v>
      </c>
      <c r="G5" s="2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4" t="s">
        <v>32</v>
      </c>
      <c r="B6" s="24" t="s">
        <v>44</v>
      </c>
      <c r="C6" s="24">
        <v>280</v>
      </c>
      <c r="D6" s="3" t="s">
        <v>183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3" t="s">
        <v>33</v>
      </c>
      <c r="B7" s="23" t="s">
        <v>47</v>
      </c>
      <c r="C7" s="23">
        <v>250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4" t="s">
        <v>34</v>
      </c>
      <c r="B8" s="24" t="s">
        <v>44</v>
      </c>
      <c r="C8" s="24">
        <v>150</v>
      </c>
      <c r="D8" s="3"/>
      <c r="E8" s="3"/>
      <c r="F8" s="25" t="s">
        <v>24</v>
      </c>
      <c r="G8" s="25" t="s">
        <v>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3" t="s">
        <v>35</v>
      </c>
      <c r="B9" s="23" t="s">
        <v>47</v>
      </c>
      <c r="C9" s="23">
        <v>130</v>
      </c>
      <c r="D9" s="3"/>
      <c r="E9" s="3"/>
      <c r="F9" s="23" t="s">
        <v>41</v>
      </c>
      <c r="G9" s="49" t="s">
        <v>44</v>
      </c>
      <c r="H9" s="3">
        <v>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3" t="s">
        <v>36</v>
      </c>
      <c r="B10" s="23" t="s">
        <v>43</v>
      </c>
      <c r="C10" s="23">
        <v>180</v>
      </c>
      <c r="D10" s="3"/>
      <c r="E10" s="3"/>
      <c r="F10" s="23" t="s">
        <v>40</v>
      </c>
      <c r="G10" s="30" t="s">
        <v>182</v>
      </c>
      <c r="H10" s="3">
        <v>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3" t="s">
        <v>37</v>
      </c>
      <c r="B11" s="23" t="s">
        <v>47</v>
      </c>
      <c r="C11" s="23">
        <v>150</v>
      </c>
      <c r="D11" s="3"/>
      <c r="E11" s="3"/>
      <c r="F11" s="25" t="s">
        <v>46</v>
      </c>
      <c r="G11" s="28">
        <f>SUMIFS($C$2:$C$11,$B$2:$B$11,$G$2,$C$2:$C$11,$G$10)</f>
        <v>680</v>
      </c>
      <c r="H11" s="3" t="s">
        <v>181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25" t="s">
        <v>24</v>
      </c>
      <c r="G13" s="25" t="s">
        <v>42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23" t="s">
        <v>41</v>
      </c>
      <c r="G14" s="49" t="s">
        <v>44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23" t="s">
        <v>40</v>
      </c>
      <c r="G15" s="30" t="s">
        <v>182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9" customFormat="1" x14ac:dyDescent="0.25">
      <c r="A16" s="3"/>
      <c r="B16" s="3"/>
      <c r="C16" s="3"/>
      <c r="D16" s="3"/>
      <c r="E16" s="3"/>
      <c r="F16" s="23" t="s">
        <v>24</v>
      </c>
      <c r="G16" s="30" t="s">
        <v>32</v>
      </c>
      <c r="H16" s="31" t="s">
        <v>184</v>
      </c>
      <c r="I16" s="3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25" t="s">
        <v>46</v>
      </c>
      <c r="G17" s="23">
        <f>SUMIFS(C2:C11,B2:B11,G14,C2:C11,G15,A2:A11,G16)</f>
        <v>280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ataValidations count="2">
    <dataValidation type="list" allowBlank="1" showInputMessage="1" showErrorMessage="1" sqref="G2 G9 G14" xr:uid="{7F59C663-0C2A-4BBD-8DC7-5D5B50D72507}">
      <formula1>$B$2:$B$11</formula1>
    </dataValidation>
    <dataValidation type="list" allowBlank="1" showInputMessage="1" showErrorMessage="1" sqref="G16" xr:uid="{EC95F9C7-0210-43CB-AF38-FA32D6E57E12}">
      <formula1>$A$2:$A$11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zoomScale="130" zoomScaleNormal="130" workbookViewId="0">
      <selection activeCell="F10" sqref="F10"/>
    </sheetView>
  </sheetViews>
  <sheetFormatPr defaultColWidth="12.625" defaultRowHeight="15" customHeight="1" x14ac:dyDescent="0.2"/>
  <cols>
    <col min="1" max="1" width="11.125" customWidth="1"/>
    <col min="2" max="2" width="13.125" customWidth="1"/>
    <col min="3" max="4" width="10.625" customWidth="1"/>
    <col min="5" max="5" width="10.625" style="32" customWidth="1"/>
    <col min="6" max="6" width="11.625" customWidth="1"/>
    <col min="7" max="27" width="8" customWidth="1"/>
  </cols>
  <sheetData>
    <row r="1" spans="1:27" x14ac:dyDescent="0.25">
      <c r="A1" s="25" t="s">
        <v>48</v>
      </c>
      <c r="B1" s="25" t="s">
        <v>49</v>
      </c>
      <c r="C1" s="25" t="s">
        <v>40</v>
      </c>
      <c r="D1" s="25" t="s">
        <v>50</v>
      </c>
      <c r="E1" s="25" t="s">
        <v>83</v>
      </c>
      <c r="F1" s="25" t="s">
        <v>51</v>
      </c>
      <c r="G1" s="23" t="s">
        <v>189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50">
        <v>240697</v>
      </c>
      <c r="B2" s="23" t="s">
        <v>52</v>
      </c>
      <c r="C2" s="23">
        <v>300</v>
      </c>
      <c r="D2" s="23">
        <v>70</v>
      </c>
      <c r="E2" s="24">
        <f>C2*D2</f>
        <v>21000</v>
      </c>
      <c r="F2" s="51">
        <v>0.1</v>
      </c>
      <c r="G2" s="23">
        <f>E2*F2</f>
        <v>2100</v>
      </c>
      <c r="H2" s="29" t="s">
        <v>190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50">
        <v>240699</v>
      </c>
      <c r="B3" s="23" t="s">
        <v>53</v>
      </c>
      <c r="C3" s="23">
        <v>200</v>
      </c>
      <c r="D3" s="23">
        <v>125</v>
      </c>
      <c r="E3" s="24">
        <f t="shared" ref="E3:E5" si="0">C3*D3</f>
        <v>25000</v>
      </c>
      <c r="F3" s="51">
        <v>0.05</v>
      </c>
      <c r="G3" s="23">
        <f t="shared" ref="G3:G5" si="1">E3*F3</f>
        <v>1250</v>
      </c>
      <c r="H3" s="29" t="s">
        <v>191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50">
        <v>240700</v>
      </c>
      <c r="B4" s="23" t="s">
        <v>54</v>
      </c>
      <c r="C4" s="23">
        <v>180</v>
      </c>
      <c r="D4" s="23">
        <v>145</v>
      </c>
      <c r="E4" s="24">
        <f t="shared" si="0"/>
        <v>26100</v>
      </c>
      <c r="F4" s="51">
        <v>7.0000000000000007E-2</v>
      </c>
      <c r="G4" s="23">
        <f t="shared" si="1"/>
        <v>1827.0000000000002</v>
      </c>
      <c r="H4" s="29" t="s">
        <v>192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50">
        <v>240701</v>
      </c>
      <c r="B5" s="23" t="s">
        <v>52</v>
      </c>
      <c r="C5" s="23">
        <v>100</v>
      </c>
      <c r="D5" s="23">
        <v>70</v>
      </c>
      <c r="E5" s="24">
        <f t="shared" si="0"/>
        <v>7000</v>
      </c>
      <c r="F5" s="51">
        <v>0.1</v>
      </c>
      <c r="G5" s="23">
        <f t="shared" si="1"/>
        <v>700</v>
      </c>
      <c r="H5" s="29" t="s">
        <v>193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6" t="s">
        <v>55</v>
      </c>
      <c r="B6" s="47"/>
      <c r="C6" s="47"/>
      <c r="D6" s="47"/>
      <c r="E6" s="38">
        <f>SUM(E2:E5)</f>
        <v>79100</v>
      </c>
      <c r="F6" s="23"/>
      <c r="G6" s="38">
        <f>SUM(G2:G5)</f>
        <v>5877</v>
      </c>
      <c r="H6" s="29" t="s">
        <v>194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3"/>
      <c r="B8" s="3"/>
      <c r="C8" s="3"/>
      <c r="D8" s="3" t="s">
        <v>188</v>
      </c>
      <c r="E8" s="3"/>
      <c r="F8" s="22">
        <f>E6-G6</f>
        <v>73223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3"/>
      <c r="B10" s="3"/>
      <c r="C10" s="3"/>
      <c r="D10" s="3" t="s">
        <v>188</v>
      </c>
      <c r="E10" s="3"/>
      <c r="F10" s="22">
        <f>SUMPRODUCT(C2:C5,D2:D5,1-F2:F5)</f>
        <v>73223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">
    <mergeCell ref="A6:D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Formulas="1" zoomScale="55" zoomScaleNormal="55" workbookViewId="0">
      <selection activeCell="K8" sqref="K8:K9"/>
    </sheetView>
  </sheetViews>
  <sheetFormatPr defaultColWidth="12.625" defaultRowHeight="15" customHeight="1" x14ac:dyDescent="0.2"/>
  <cols>
    <col min="1" max="1" width="13.125" customWidth="1"/>
    <col min="2" max="6" width="8" customWidth="1"/>
    <col min="7" max="7" width="2.25" customWidth="1"/>
    <col min="8" max="8" width="3.875" customWidth="1"/>
    <col min="9" max="10" width="8" customWidth="1"/>
    <col min="11" max="11" width="44.25" customWidth="1"/>
    <col min="12" max="26" width="8" customWidth="1"/>
  </cols>
  <sheetData>
    <row r="1" spans="1:26" x14ac:dyDescent="0.25">
      <c r="A1" s="1" t="s">
        <v>56</v>
      </c>
      <c r="B1" s="1" t="s">
        <v>57</v>
      </c>
      <c r="C1" s="1" t="s">
        <v>40</v>
      </c>
      <c r="D1" s="1" t="s">
        <v>58</v>
      </c>
      <c r="E1" s="1" t="s">
        <v>59</v>
      </c>
      <c r="F1" s="1" t="s">
        <v>60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61</v>
      </c>
      <c r="B2" s="3" t="s">
        <v>62</v>
      </c>
      <c r="C2" s="3">
        <v>30</v>
      </c>
      <c r="D2" s="3">
        <v>250</v>
      </c>
      <c r="E2" s="3">
        <v>280</v>
      </c>
      <c r="F2" s="3">
        <v>900</v>
      </c>
      <c r="G2" s="3"/>
      <c r="H2" s="3"/>
      <c r="I2" s="33" t="s">
        <v>63</v>
      </c>
      <c r="J2" s="34"/>
      <c r="K2" s="3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64</v>
      </c>
      <c r="B3" s="3" t="s">
        <v>65</v>
      </c>
      <c r="C3" s="3">
        <v>25</v>
      </c>
      <c r="D3" s="3">
        <v>150</v>
      </c>
      <c r="E3" s="3">
        <v>190</v>
      </c>
      <c r="F3" s="3">
        <v>1000</v>
      </c>
      <c r="G3" s="3"/>
      <c r="H3" s="3"/>
      <c r="I3" s="3" t="s">
        <v>24</v>
      </c>
      <c r="J3" s="3" t="s">
        <v>65</v>
      </c>
      <c r="K3" s="22"/>
      <c r="L3" s="3" t="s">
        <v>185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66</v>
      </c>
      <c r="B4" s="3" t="s">
        <v>62</v>
      </c>
      <c r="C4" s="3">
        <v>30</v>
      </c>
      <c r="D4" s="3">
        <v>280</v>
      </c>
      <c r="E4" s="3">
        <v>320</v>
      </c>
      <c r="F4" s="3">
        <v>1200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67</v>
      </c>
      <c r="B5" s="3" t="s">
        <v>65</v>
      </c>
      <c r="C5" s="3">
        <v>25</v>
      </c>
      <c r="D5" s="3">
        <v>150</v>
      </c>
      <c r="E5" s="3">
        <v>190</v>
      </c>
      <c r="F5" s="3">
        <v>1000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68</v>
      </c>
      <c r="B6" s="3" t="s">
        <v>65</v>
      </c>
      <c r="C6" s="3">
        <v>50</v>
      </c>
      <c r="D6" s="3">
        <v>170</v>
      </c>
      <c r="E6" s="3">
        <v>220</v>
      </c>
      <c r="F6" s="3">
        <v>2500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2" t="s">
        <v>69</v>
      </c>
      <c r="B7" s="22" t="s">
        <v>62</v>
      </c>
      <c r="C7" s="22">
        <v>22</v>
      </c>
      <c r="D7" s="22">
        <v>550</v>
      </c>
      <c r="E7" s="22">
        <v>650</v>
      </c>
      <c r="F7" s="22">
        <v>2200</v>
      </c>
      <c r="G7" s="3"/>
      <c r="H7" s="3"/>
      <c r="I7" s="33" t="s">
        <v>63</v>
      </c>
      <c r="J7" s="34"/>
      <c r="K7" s="3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2" t="s">
        <v>70</v>
      </c>
      <c r="B8" s="22" t="s">
        <v>62</v>
      </c>
      <c r="C8" s="22">
        <v>20</v>
      </c>
      <c r="D8" s="22">
        <v>800</v>
      </c>
      <c r="E8" s="22">
        <v>950</v>
      </c>
      <c r="F8" s="22">
        <v>3000</v>
      </c>
      <c r="G8" s="3"/>
      <c r="H8" s="3" t="s">
        <v>187</v>
      </c>
      <c r="I8" s="3" t="s">
        <v>24</v>
      </c>
      <c r="J8" s="3" t="s">
        <v>65</v>
      </c>
      <c r="K8" s="35"/>
      <c r="L8" s="3" t="s">
        <v>186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 t="s">
        <v>71</v>
      </c>
      <c r="B9" s="3" t="s">
        <v>65</v>
      </c>
      <c r="C9" s="3">
        <v>40</v>
      </c>
      <c r="D9" s="3">
        <v>180</v>
      </c>
      <c r="E9" s="3">
        <v>250</v>
      </c>
      <c r="F9" s="3">
        <v>2800</v>
      </c>
      <c r="G9" s="3"/>
      <c r="H9" s="3"/>
      <c r="I9" s="3" t="s">
        <v>50</v>
      </c>
      <c r="J9" s="3" t="s">
        <v>45</v>
      </c>
      <c r="K9" s="3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 t="s">
        <v>72</v>
      </c>
      <c r="B10" s="3" t="s">
        <v>65</v>
      </c>
      <c r="C10" s="3">
        <v>20</v>
      </c>
      <c r="D10" s="3">
        <v>250</v>
      </c>
      <c r="E10" s="3">
        <v>280</v>
      </c>
      <c r="F10" s="3">
        <v>600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 t="s">
        <v>73</v>
      </c>
      <c r="B11" s="3" t="s">
        <v>62</v>
      </c>
      <c r="C11" s="3">
        <v>25</v>
      </c>
      <c r="D11" s="3">
        <v>250</v>
      </c>
      <c r="E11" s="3">
        <v>290</v>
      </c>
      <c r="F11" s="3">
        <v>1000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 t="s">
        <v>74</v>
      </c>
      <c r="B12" s="3" t="s">
        <v>65</v>
      </c>
      <c r="C12" s="3">
        <v>30</v>
      </c>
      <c r="D12" s="3">
        <v>250</v>
      </c>
      <c r="E12" s="3">
        <v>290</v>
      </c>
      <c r="F12" s="3">
        <v>1200</v>
      </c>
      <c r="G12" s="3"/>
      <c r="H12" s="3"/>
      <c r="I12" s="33" t="s">
        <v>63</v>
      </c>
      <c r="J12" s="34"/>
      <c r="K12" s="3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 t="s">
        <v>75</v>
      </c>
      <c r="B13" s="3" t="s">
        <v>65</v>
      </c>
      <c r="C13" s="3">
        <v>20</v>
      </c>
      <c r="D13" s="3">
        <v>375</v>
      </c>
      <c r="E13" s="3">
        <v>475</v>
      </c>
      <c r="F13" s="3">
        <v>2000</v>
      </c>
      <c r="G13" s="3"/>
      <c r="H13" s="3"/>
      <c r="I13" s="3" t="s">
        <v>24</v>
      </c>
      <c r="J13" s="3" t="s">
        <v>76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 t="s">
        <v>77</v>
      </c>
      <c r="B14" s="3" t="s">
        <v>62</v>
      </c>
      <c r="C14" s="3">
        <v>24</v>
      </c>
      <c r="D14" s="3">
        <v>220</v>
      </c>
      <c r="E14" s="3">
        <v>270</v>
      </c>
      <c r="F14" s="3">
        <v>1200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I2:K2"/>
    <mergeCell ref="I7:K7"/>
    <mergeCell ref="K8:K9"/>
    <mergeCell ref="I12:K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Formulas="1" zoomScale="90" zoomScaleNormal="90" workbookViewId="0">
      <selection activeCell="F2" sqref="F2:F12"/>
    </sheetView>
  </sheetViews>
  <sheetFormatPr defaultColWidth="12.625" defaultRowHeight="15" customHeight="1" x14ac:dyDescent="0.2"/>
  <cols>
    <col min="1" max="1" width="8" customWidth="1"/>
    <col min="2" max="2" width="11.75" customWidth="1"/>
    <col min="3" max="5" width="8" customWidth="1"/>
    <col min="6" max="6" width="11.125" customWidth="1"/>
    <col min="7" max="8" width="8" customWidth="1"/>
    <col min="9" max="9" width="13.625" customWidth="1"/>
    <col min="10" max="10" width="10.875" customWidth="1"/>
    <col min="11" max="26" width="8" customWidth="1"/>
  </cols>
  <sheetData>
    <row r="1" spans="1:26" x14ac:dyDescent="0.2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3"/>
      <c r="H1" s="3"/>
      <c r="I1" s="1" t="s">
        <v>1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>
        <v>1</v>
      </c>
      <c r="B2" s="3" t="s">
        <v>84</v>
      </c>
      <c r="C2" s="3">
        <v>32500</v>
      </c>
      <c r="D2" s="3">
        <v>28000</v>
      </c>
      <c r="E2" s="3">
        <v>40000</v>
      </c>
      <c r="F2" s="3"/>
      <c r="G2" s="3"/>
      <c r="H2" s="3"/>
      <c r="I2" s="3" t="s">
        <v>76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>
        <v>2</v>
      </c>
      <c r="B3" s="3" t="s">
        <v>85</v>
      </c>
      <c r="C3" s="3">
        <v>27550</v>
      </c>
      <c r="D3" s="3">
        <v>32000</v>
      </c>
      <c r="E3" s="3">
        <v>41000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>
        <v>3</v>
      </c>
      <c r="B4" s="3" t="s">
        <v>86</v>
      </c>
      <c r="C4" s="3">
        <v>34000</v>
      </c>
      <c r="D4" s="3">
        <v>36000</v>
      </c>
      <c r="E4" s="3">
        <v>51000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>
        <v>4</v>
      </c>
      <c r="B5" s="3" t="s">
        <v>87</v>
      </c>
      <c r="C5" s="3">
        <v>50000</v>
      </c>
      <c r="D5" s="3">
        <v>38000</v>
      </c>
      <c r="E5" s="3">
        <v>49000</v>
      </c>
      <c r="F5" s="3"/>
      <c r="G5" s="3"/>
      <c r="H5" s="3"/>
      <c r="I5" s="33" t="s">
        <v>88</v>
      </c>
      <c r="J5" s="3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>
        <v>5</v>
      </c>
      <c r="B6" s="3" t="s">
        <v>89</v>
      </c>
      <c r="C6" s="3">
        <v>20000</v>
      </c>
      <c r="D6" s="3">
        <v>34000</v>
      </c>
      <c r="E6" s="3">
        <v>45000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>
        <v>6</v>
      </c>
      <c r="B7" s="3" t="s">
        <v>90</v>
      </c>
      <c r="C7" s="3">
        <v>18000</v>
      </c>
      <c r="D7" s="3">
        <v>22000</v>
      </c>
      <c r="E7" s="3">
        <v>34000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>
        <v>7</v>
      </c>
      <c r="B8" s="3" t="s">
        <v>91</v>
      </c>
      <c r="C8" s="3">
        <v>45000</v>
      </c>
      <c r="D8" s="3">
        <v>39000</v>
      </c>
      <c r="E8" s="3">
        <v>54000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>
        <v>8</v>
      </c>
      <c r="B9" s="3" t="s">
        <v>92</v>
      </c>
      <c r="C9" s="3">
        <v>29000</v>
      </c>
      <c r="D9" s="3">
        <v>38000</v>
      </c>
      <c r="E9" s="3">
        <v>40500</v>
      </c>
      <c r="F9" s="3"/>
      <c r="G9" s="3"/>
      <c r="H9" s="3"/>
      <c r="I9" s="33" t="s">
        <v>93</v>
      </c>
      <c r="J9" s="3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>
        <v>9</v>
      </c>
      <c r="B10" s="3" t="s">
        <v>94</v>
      </c>
      <c r="C10" s="3">
        <v>35000</v>
      </c>
      <c r="D10" s="3">
        <v>28000</v>
      </c>
      <c r="E10" s="3">
        <v>37800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>
        <v>10</v>
      </c>
      <c r="B11" s="3" t="s">
        <v>95</v>
      </c>
      <c r="C11" s="3">
        <v>42000</v>
      </c>
      <c r="D11" s="3">
        <v>36000</v>
      </c>
      <c r="E11" s="3">
        <v>47000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>
        <v>11</v>
      </c>
      <c r="B12" s="3" t="s">
        <v>96</v>
      </c>
      <c r="C12" s="3">
        <v>19000</v>
      </c>
      <c r="D12" s="3">
        <v>38700</v>
      </c>
      <c r="E12" s="3">
        <v>42000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I5:J5"/>
    <mergeCell ref="I9:J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Formulas="1" workbookViewId="0">
      <selection activeCell="H29" sqref="H29"/>
    </sheetView>
  </sheetViews>
  <sheetFormatPr defaultColWidth="12.625" defaultRowHeight="15" customHeight="1" x14ac:dyDescent="0.2"/>
  <cols>
    <col min="1" max="1" width="9.875" customWidth="1"/>
    <col min="2" max="2" width="10.5" customWidth="1"/>
    <col min="3" max="3" width="10.25" customWidth="1"/>
    <col min="4" max="4" width="12.625" customWidth="1"/>
    <col min="5" max="5" width="7.875" customWidth="1"/>
    <col min="6" max="6" width="13.625" customWidth="1"/>
    <col min="7" max="7" width="13.5" customWidth="1"/>
    <col min="8" max="8" width="10.875" customWidth="1"/>
    <col min="9" max="9" width="12.875" customWidth="1"/>
    <col min="10" max="26" width="7.875" customWidth="1"/>
  </cols>
  <sheetData>
    <row r="1" spans="1:26" x14ac:dyDescent="0.25">
      <c r="A1" s="33" t="s">
        <v>22</v>
      </c>
      <c r="B1" s="34"/>
      <c r="C1" s="34"/>
      <c r="D1" s="34"/>
      <c r="E1" s="34"/>
      <c r="F1" s="33" t="s">
        <v>97</v>
      </c>
      <c r="G1" s="34"/>
      <c r="H1" s="3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23</v>
      </c>
      <c r="B2" s="1" t="s">
        <v>24</v>
      </c>
      <c r="C2" s="1" t="s">
        <v>98</v>
      </c>
      <c r="D2" s="1" t="s">
        <v>99</v>
      </c>
      <c r="E2" s="1" t="s">
        <v>27</v>
      </c>
      <c r="F2" s="1" t="s">
        <v>100</v>
      </c>
      <c r="G2" s="1" t="s">
        <v>101</v>
      </c>
      <c r="H2" s="1" t="s">
        <v>102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28</v>
      </c>
      <c r="C3" s="3">
        <v>50</v>
      </c>
      <c r="D3" s="3">
        <v>250</v>
      </c>
      <c r="E3" s="3">
        <v>12500</v>
      </c>
      <c r="F3" s="5">
        <v>42374</v>
      </c>
      <c r="G3" s="1">
        <v>3</v>
      </c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29</v>
      </c>
      <c r="C4" s="3">
        <v>50</v>
      </c>
      <c r="D4" s="3">
        <v>180</v>
      </c>
      <c r="E4" s="3">
        <v>9000</v>
      </c>
      <c r="F4" s="5">
        <v>42374</v>
      </c>
      <c r="G4" s="1">
        <v>3</v>
      </c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30</v>
      </c>
      <c r="C5" s="3">
        <v>45</v>
      </c>
      <c r="D5" s="3">
        <v>300</v>
      </c>
      <c r="E5" s="3">
        <v>13500</v>
      </c>
      <c r="F5" s="5">
        <v>42374</v>
      </c>
      <c r="G5" s="1">
        <v>3</v>
      </c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31</v>
      </c>
      <c r="C6" s="3">
        <v>38</v>
      </c>
      <c r="D6" s="3">
        <v>800</v>
      </c>
      <c r="E6" s="3">
        <v>30400</v>
      </c>
      <c r="F6" s="5">
        <v>42376</v>
      </c>
      <c r="G6" s="1">
        <v>5</v>
      </c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1">
        <v>5</v>
      </c>
      <c r="B7" s="3" t="s">
        <v>32</v>
      </c>
      <c r="C7" s="3">
        <v>40</v>
      </c>
      <c r="D7" s="3">
        <v>540</v>
      </c>
      <c r="E7" s="3">
        <v>21600</v>
      </c>
      <c r="F7" s="5">
        <v>42376</v>
      </c>
      <c r="G7" s="1">
        <v>5</v>
      </c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">
        <v>6</v>
      </c>
      <c r="B8" s="3" t="s">
        <v>33</v>
      </c>
      <c r="C8" s="3">
        <v>25</v>
      </c>
      <c r="D8" s="3">
        <v>380</v>
      </c>
      <c r="E8" s="3">
        <v>9500</v>
      </c>
      <c r="F8" s="5">
        <v>42376</v>
      </c>
      <c r="G8" s="1">
        <v>5</v>
      </c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">
        <v>7</v>
      </c>
      <c r="B9" s="3" t="s">
        <v>34</v>
      </c>
      <c r="C9" s="3">
        <v>40</v>
      </c>
      <c r="D9" s="3">
        <v>420</v>
      </c>
      <c r="E9" s="3">
        <v>16800</v>
      </c>
      <c r="F9" s="5">
        <v>42379</v>
      </c>
      <c r="G9" s="1">
        <v>7</v>
      </c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1">
        <v>8</v>
      </c>
      <c r="B10" s="3" t="s">
        <v>35</v>
      </c>
      <c r="C10" s="3">
        <v>35</v>
      </c>
      <c r="D10" s="3">
        <v>1200</v>
      </c>
      <c r="E10" s="3">
        <v>42000</v>
      </c>
      <c r="F10" s="5">
        <v>42379</v>
      </c>
      <c r="G10" s="1">
        <v>7</v>
      </c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1">
        <v>9</v>
      </c>
      <c r="B11" s="3" t="s">
        <v>36</v>
      </c>
      <c r="C11" s="3">
        <v>45</v>
      </c>
      <c r="D11" s="3">
        <v>600</v>
      </c>
      <c r="E11" s="3">
        <v>27000</v>
      </c>
      <c r="F11" s="5">
        <v>42379</v>
      </c>
      <c r="G11" s="1">
        <v>7</v>
      </c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1">
        <v>10</v>
      </c>
      <c r="B12" s="3" t="s">
        <v>37</v>
      </c>
      <c r="C12" s="3">
        <v>40</v>
      </c>
      <c r="D12" s="3">
        <v>1500</v>
      </c>
      <c r="E12" s="3">
        <v>60000</v>
      </c>
      <c r="F12" s="5">
        <v>42379</v>
      </c>
      <c r="G12" s="1">
        <v>7</v>
      </c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F1:H1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showFormulas="1" topLeftCell="A2" zoomScaleNormal="100" workbookViewId="0">
      <selection activeCell="E21" sqref="E21"/>
    </sheetView>
  </sheetViews>
  <sheetFormatPr defaultColWidth="12.625" defaultRowHeight="15" customHeight="1" x14ac:dyDescent="0.2"/>
  <cols>
    <col min="1" max="1" width="7.875" customWidth="1"/>
    <col min="2" max="2" width="20.25" customWidth="1"/>
    <col min="3" max="3" width="13.25" customWidth="1"/>
    <col min="4" max="4" width="12.875" customWidth="1"/>
    <col min="5" max="5" width="11.75" customWidth="1"/>
    <col min="6" max="7" width="7.875" customWidth="1"/>
    <col min="8" max="8" width="12.125" customWidth="1"/>
    <col min="9" max="9" width="11" customWidth="1"/>
    <col min="10" max="26" width="7.875" customWidth="1"/>
  </cols>
  <sheetData>
    <row r="1" spans="1:26" x14ac:dyDescent="0.25">
      <c r="A1" s="33" t="s">
        <v>103</v>
      </c>
      <c r="B1" s="34"/>
      <c r="C1" s="34"/>
      <c r="D1" s="34"/>
      <c r="E1" s="3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104</v>
      </c>
      <c r="B2" s="1" t="s">
        <v>105</v>
      </c>
      <c r="C2" s="1" t="s">
        <v>106</v>
      </c>
      <c r="D2" s="1" t="s">
        <v>107</v>
      </c>
      <c r="E2" s="1" t="s">
        <v>108</v>
      </c>
      <c r="F2" s="3"/>
      <c r="G2" s="3"/>
      <c r="H2" s="1" t="s">
        <v>109</v>
      </c>
      <c r="I2" s="1">
        <v>6</v>
      </c>
      <c r="J2" s="1" t="s">
        <v>110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1">
        <v>1</v>
      </c>
      <c r="B3" s="3" t="s">
        <v>111</v>
      </c>
      <c r="C3" s="6">
        <v>42461</v>
      </c>
      <c r="D3" s="6">
        <v>42469</v>
      </c>
      <c r="E3" s="3">
        <v>8</v>
      </c>
      <c r="F3" s="3"/>
      <c r="G3" s="3"/>
      <c r="H3" s="6">
        <v>42468</v>
      </c>
      <c r="I3" s="3" t="s">
        <v>112</v>
      </c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1">
        <v>2</v>
      </c>
      <c r="B4" s="3" t="s">
        <v>113</v>
      </c>
      <c r="C4" s="6">
        <v>42470</v>
      </c>
      <c r="D4" s="6">
        <v>42480</v>
      </c>
      <c r="E4" s="3">
        <v>10</v>
      </c>
      <c r="F4" s="3"/>
      <c r="G4" s="3"/>
      <c r="H4" s="7" t="s">
        <v>114</v>
      </c>
      <c r="I4" s="3" t="s">
        <v>115</v>
      </c>
      <c r="J4" s="3">
        <v>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1">
        <v>3</v>
      </c>
      <c r="B5" s="3" t="s">
        <v>116</v>
      </c>
      <c r="C5" s="6">
        <v>42481</v>
      </c>
      <c r="D5" s="6">
        <v>42488</v>
      </c>
      <c r="E5" s="3">
        <v>7</v>
      </c>
      <c r="F5" s="3"/>
      <c r="G5" s="3"/>
      <c r="H5" s="6">
        <v>42491</v>
      </c>
      <c r="I5" s="3" t="s">
        <v>117</v>
      </c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1">
        <v>4</v>
      </c>
      <c r="B6" s="3" t="s">
        <v>118</v>
      </c>
      <c r="C6" s="6">
        <v>42489</v>
      </c>
      <c r="D6" s="6">
        <v>42500</v>
      </c>
      <c r="E6" s="3">
        <v>11</v>
      </c>
      <c r="F6" s="3"/>
      <c r="G6" s="3"/>
      <c r="H6" s="6">
        <v>42495</v>
      </c>
      <c r="I6" s="3" t="s">
        <v>119</v>
      </c>
      <c r="J6" s="3">
        <v>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3" t="s">
        <v>120</v>
      </c>
      <c r="B7" s="34"/>
      <c r="C7" s="34"/>
      <c r="D7" s="3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 t="s">
        <v>121</v>
      </c>
      <c r="C8" s="6">
        <v>42461</v>
      </c>
      <c r="D8" s="6">
        <v>42500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9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9"/>
      <c r="D13" s="9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11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1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11"/>
      <c r="D17" s="11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E1"/>
    <mergeCell ref="A7:D7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Formulas="1" zoomScaleNormal="100" workbookViewId="0">
      <selection activeCell="I8" sqref="I8"/>
    </sheetView>
  </sheetViews>
  <sheetFormatPr defaultColWidth="12.625" defaultRowHeight="15" customHeight="1" x14ac:dyDescent="0.2"/>
  <cols>
    <col min="1" max="1" width="23.125" customWidth="1"/>
    <col min="2" max="2" width="12.375" customWidth="1"/>
    <col min="3" max="6" width="7.875" customWidth="1"/>
    <col min="7" max="7" width="15.25" customWidth="1"/>
    <col min="8" max="8" width="12" bestFit="1" customWidth="1"/>
    <col min="9" max="9" width="11.75" customWidth="1"/>
    <col min="10" max="26" width="7.875" customWidth="1"/>
  </cols>
  <sheetData>
    <row r="1" spans="1:26" x14ac:dyDescent="0.25">
      <c r="A1" s="33" t="s">
        <v>122</v>
      </c>
      <c r="B1" s="34"/>
      <c r="C1" s="34"/>
      <c r="D1" s="34"/>
      <c r="E1" s="3"/>
      <c r="F1" s="3"/>
      <c r="G1" s="33" t="s">
        <v>123</v>
      </c>
      <c r="H1" s="34"/>
      <c r="I1" s="3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124</v>
      </c>
      <c r="B2" s="13">
        <v>7.4999999999999997E-2</v>
      </c>
      <c r="C2" s="4" t="s">
        <v>125</v>
      </c>
      <c r="D2" s="4" t="s">
        <v>126</v>
      </c>
      <c r="E2" s="3"/>
      <c r="F2" s="3"/>
      <c r="G2" s="3" t="s">
        <v>127</v>
      </c>
      <c r="H2" s="14">
        <v>1322000</v>
      </c>
      <c r="I2" s="4" t="s">
        <v>128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129</v>
      </c>
      <c r="B3" s="12">
        <v>60</v>
      </c>
      <c r="C3" s="4" t="s">
        <v>0</v>
      </c>
      <c r="D3" s="4" t="s">
        <v>130</v>
      </c>
      <c r="E3" s="3"/>
      <c r="F3" s="3"/>
      <c r="G3" s="3" t="s">
        <v>131</v>
      </c>
      <c r="H3" s="14">
        <v>330500</v>
      </c>
      <c r="I3" s="4" t="s">
        <v>128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132</v>
      </c>
      <c r="B4" s="14">
        <v>-300000</v>
      </c>
      <c r="C4" s="4" t="s">
        <v>128</v>
      </c>
      <c r="D4" s="4" t="s">
        <v>133</v>
      </c>
      <c r="E4" s="3"/>
      <c r="F4" s="3"/>
      <c r="G4" s="3" t="s">
        <v>134</v>
      </c>
      <c r="H4" s="14">
        <v>991500</v>
      </c>
      <c r="I4" s="4" t="s">
        <v>128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172</v>
      </c>
      <c r="B5" s="15"/>
      <c r="C5" s="4" t="s">
        <v>128</v>
      </c>
      <c r="D5" s="3"/>
      <c r="E5" s="3"/>
      <c r="F5" s="3"/>
      <c r="G5" s="3" t="s">
        <v>135</v>
      </c>
      <c r="H5" s="13">
        <v>2.5000000000000001E-2</v>
      </c>
      <c r="I5" s="4" t="s">
        <v>136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173</v>
      </c>
      <c r="B6" s="15"/>
      <c r="C6" s="4" t="s">
        <v>128</v>
      </c>
      <c r="D6" s="3"/>
      <c r="E6" s="3"/>
      <c r="F6" s="3"/>
      <c r="G6" s="3" t="s">
        <v>137</v>
      </c>
      <c r="H6" s="3">
        <v>5</v>
      </c>
      <c r="I6" s="4" t="s">
        <v>138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3" t="s">
        <v>139</v>
      </c>
      <c r="G7" s="34"/>
      <c r="H7" s="16"/>
      <c r="I7" s="16"/>
      <c r="J7" s="3" t="s">
        <v>174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20"/>
      <c r="J8" s="3" t="s">
        <v>175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D1"/>
    <mergeCell ref="G1:I1"/>
    <mergeCell ref="F7:G7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Formulas="1" zoomScaleNormal="100" workbookViewId="0">
      <selection activeCell="I8" sqref="I8"/>
    </sheetView>
  </sheetViews>
  <sheetFormatPr defaultColWidth="12.625" defaultRowHeight="15" customHeight="1" x14ac:dyDescent="0.2"/>
  <cols>
    <col min="1" max="1" width="17.375" bestFit="1" customWidth="1"/>
    <col min="2" max="2" width="13.625" customWidth="1"/>
    <col min="3" max="7" width="7.875" customWidth="1"/>
    <col min="8" max="8" width="17" customWidth="1"/>
    <col min="9" max="9" width="12.625" customWidth="1"/>
    <col min="10" max="26" width="7.875" customWidth="1"/>
  </cols>
  <sheetData>
    <row r="1" spans="1:26" x14ac:dyDescent="0.25">
      <c r="A1" s="33" t="s">
        <v>140</v>
      </c>
      <c r="B1" s="34"/>
      <c r="C1" s="34"/>
      <c r="D1" s="34"/>
      <c r="E1" s="3"/>
      <c r="F1" s="3"/>
      <c r="G1" s="3"/>
      <c r="H1" s="33" t="s">
        <v>141</v>
      </c>
      <c r="I1" s="34"/>
      <c r="J1" s="34"/>
      <c r="K1" s="3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142</v>
      </c>
      <c r="B2" s="13">
        <v>5.7500000000000002E-2</v>
      </c>
      <c r="C2" s="4" t="s">
        <v>125</v>
      </c>
      <c r="D2" s="4" t="s">
        <v>126</v>
      </c>
      <c r="E2" s="3"/>
      <c r="F2" s="3"/>
      <c r="G2" s="3"/>
      <c r="H2" s="3" t="s">
        <v>142</v>
      </c>
      <c r="I2" s="13">
        <v>7.4999999999999997E-2</v>
      </c>
      <c r="J2" s="4" t="s">
        <v>125</v>
      </c>
      <c r="K2" s="4" t="s">
        <v>126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143</v>
      </c>
      <c r="B3" s="3">
        <v>6</v>
      </c>
      <c r="C3" s="4" t="s">
        <v>138</v>
      </c>
      <c r="D3" s="4" t="s">
        <v>130</v>
      </c>
      <c r="E3" s="3"/>
      <c r="F3" s="3"/>
      <c r="G3" s="3"/>
      <c r="H3" s="3" t="s">
        <v>143</v>
      </c>
      <c r="I3" s="3">
        <v>10</v>
      </c>
      <c r="J3" s="4" t="s">
        <v>138</v>
      </c>
      <c r="K3" s="4" t="s">
        <v>130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144</v>
      </c>
      <c r="B4" s="3">
        <v>6900</v>
      </c>
      <c r="C4" s="4" t="s">
        <v>128</v>
      </c>
      <c r="D4" s="4" t="s">
        <v>145</v>
      </c>
      <c r="E4" s="3"/>
      <c r="F4" s="3"/>
      <c r="G4" s="3"/>
      <c r="H4" s="3" t="s">
        <v>144</v>
      </c>
      <c r="I4" s="3">
        <v>-5000</v>
      </c>
      <c r="J4" s="4" t="s">
        <v>128</v>
      </c>
      <c r="K4" s="4" t="s">
        <v>145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146</v>
      </c>
      <c r="B5" s="3">
        <v>0</v>
      </c>
      <c r="C5" s="4" t="s">
        <v>128</v>
      </c>
      <c r="D5" s="4" t="s">
        <v>147</v>
      </c>
      <c r="E5" s="3"/>
      <c r="F5" s="3"/>
      <c r="G5" s="3"/>
      <c r="H5" s="3" t="s">
        <v>148</v>
      </c>
      <c r="I5" s="3"/>
      <c r="J5" s="4" t="s">
        <v>128</v>
      </c>
      <c r="K5" s="4" t="s">
        <v>133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149</v>
      </c>
      <c r="B6" s="3">
        <v>0</v>
      </c>
      <c r="C6" s="4"/>
      <c r="D6" s="4" t="s">
        <v>176</v>
      </c>
      <c r="E6" s="3"/>
      <c r="F6" s="3"/>
      <c r="G6" s="3"/>
      <c r="H6" s="3" t="s">
        <v>151</v>
      </c>
      <c r="I6" s="3">
        <v>1</v>
      </c>
      <c r="J6" s="4"/>
      <c r="K6" s="4" t="s">
        <v>150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 t="s">
        <v>152</v>
      </c>
      <c r="B8" s="15"/>
      <c r="C8" s="33" t="s">
        <v>128</v>
      </c>
      <c r="D8" s="34"/>
      <c r="E8" s="3"/>
      <c r="F8" s="3"/>
      <c r="G8" s="3"/>
      <c r="H8" s="3" t="s">
        <v>152</v>
      </c>
      <c r="I8" s="15"/>
      <c r="J8" s="33" t="s">
        <v>153</v>
      </c>
      <c r="K8" s="3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D1"/>
    <mergeCell ref="H1:K1"/>
    <mergeCell ref="C8:D8"/>
    <mergeCell ref="J8:K8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Formulas="1" workbookViewId="0">
      <selection activeCell="I2" sqref="I2:I4"/>
    </sheetView>
  </sheetViews>
  <sheetFormatPr defaultColWidth="12.625" defaultRowHeight="15" customHeight="1" x14ac:dyDescent="0.2"/>
  <cols>
    <col min="1" max="1" width="7.875" customWidth="1"/>
    <col min="2" max="2" width="31.875" bestFit="1" customWidth="1"/>
    <col min="3" max="3" width="12.625" customWidth="1"/>
    <col min="4" max="4" width="11.25" customWidth="1"/>
    <col min="5" max="7" width="7.875" customWidth="1"/>
    <col min="8" max="8" width="12.875" customWidth="1"/>
    <col min="9" max="9" width="10.625" customWidth="1"/>
    <col min="10" max="26" width="7.875" customWidth="1"/>
  </cols>
  <sheetData>
    <row r="1" spans="1:26" x14ac:dyDescent="0.25">
      <c r="A1" s="33" t="s">
        <v>154</v>
      </c>
      <c r="B1" s="34"/>
      <c r="C1" s="34"/>
      <c r="D1" s="34"/>
      <c r="E1" s="3"/>
      <c r="F1" s="3"/>
      <c r="G1" s="33" t="s">
        <v>155</v>
      </c>
      <c r="H1" s="34"/>
      <c r="I1" s="3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3" t="s">
        <v>156</v>
      </c>
      <c r="B2" s="3" t="s">
        <v>157</v>
      </c>
      <c r="C2" s="12">
        <v>32000</v>
      </c>
      <c r="D2" s="4" t="s">
        <v>128</v>
      </c>
      <c r="E2" s="3"/>
      <c r="F2" s="3"/>
      <c r="G2" s="3" t="s">
        <v>158</v>
      </c>
      <c r="H2" s="3"/>
      <c r="I2" s="1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3" t="s">
        <v>159</v>
      </c>
      <c r="B3" s="3" t="s">
        <v>160</v>
      </c>
      <c r="C3" s="12">
        <v>3000</v>
      </c>
      <c r="D3" s="4" t="s">
        <v>128</v>
      </c>
      <c r="E3" s="3"/>
      <c r="F3" s="3"/>
      <c r="G3" s="3" t="s">
        <v>161</v>
      </c>
      <c r="H3" s="3"/>
      <c r="I3" s="1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3" t="s">
        <v>162</v>
      </c>
      <c r="B4" s="3" t="s">
        <v>163</v>
      </c>
      <c r="C4" s="3">
        <v>3</v>
      </c>
      <c r="D4" s="4" t="s">
        <v>138</v>
      </c>
      <c r="E4" s="3"/>
      <c r="F4" s="3"/>
      <c r="G4" s="3" t="s">
        <v>164</v>
      </c>
      <c r="H4" s="3"/>
      <c r="I4" s="1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" t="s">
        <v>165</v>
      </c>
      <c r="B5" s="3" t="s">
        <v>166</v>
      </c>
      <c r="C5" s="3">
        <v>1</v>
      </c>
      <c r="D5" s="4" t="s">
        <v>138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3" t="s">
        <v>167</v>
      </c>
      <c r="B6" s="3" t="s">
        <v>168</v>
      </c>
      <c r="C6" s="3">
        <v>12</v>
      </c>
      <c r="D6" s="4" t="s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3"/>
      <c r="B9" s="3" t="s">
        <v>169</v>
      </c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D1"/>
    <mergeCell ref="G1:I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zoomScale="130" zoomScaleNormal="130" workbookViewId="0">
      <selection activeCell="B2" sqref="B2:G13"/>
    </sheetView>
  </sheetViews>
  <sheetFormatPr defaultColWidth="12.625" defaultRowHeight="15" customHeight="1" x14ac:dyDescent="0.2"/>
  <cols>
    <col min="1" max="1" width="7.875" customWidth="1"/>
    <col min="2" max="2" width="11.75" customWidth="1"/>
    <col min="3" max="3" width="10.25" customWidth="1"/>
    <col min="4" max="4" width="10.875" customWidth="1"/>
    <col min="5" max="5" width="10.5" customWidth="1"/>
    <col min="6" max="6" width="14" customWidth="1"/>
    <col min="7" max="7" width="11.75" customWidth="1"/>
    <col min="8" max="8" width="7.875" customWidth="1"/>
    <col min="9" max="9" width="13.625" customWidth="1"/>
    <col min="10" max="12" width="7.875" customWidth="1"/>
    <col min="13" max="13" width="22.375" customWidth="1"/>
    <col min="14" max="14" width="21.875" customWidth="1"/>
    <col min="15" max="15" width="17.25" customWidth="1"/>
    <col min="16" max="26" width="7.875" customWidth="1"/>
  </cols>
  <sheetData>
    <row r="1" spans="1:26" x14ac:dyDescent="0.25">
      <c r="A1" s="53" t="s">
        <v>170</v>
      </c>
      <c r="B1" s="54"/>
      <c r="C1" s="54"/>
      <c r="D1" s="54"/>
      <c r="E1" s="54"/>
      <c r="F1" s="54"/>
      <c r="G1" s="54"/>
      <c r="H1" s="3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55" t="s">
        <v>78</v>
      </c>
      <c r="B2" s="55" t="s">
        <v>79</v>
      </c>
      <c r="C2" s="55" t="s">
        <v>80</v>
      </c>
      <c r="D2" s="55" t="s">
        <v>81</v>
      </c>
      <c r="E2" s="55" t="s">
        <v>82</v>
      </c>
      <c r="F2" s="55" t="s">
        <v>83</v>
      </c>
      <c r="G2" s="55" t="s">
        <v>171</v>
      </c>
      <c r="H2" s="3"/>
      <c r="I2" s="3"/>
      <c r="J2" s="3"/>
      <c r="K2" s="3"/>
      <c r="L2" s="3"/>
      <c r="M2" s="25" t="s">
        <v>204</v>
      </c>
      <c r="N2" s="25" t="s">
        <v>84</v>
      </c>
      <c r="O2" s="25" t="s">
        <v>171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5">
        <v>1</v>
      </c>
      <c r="B3" s="23" t="s">
        <v>84</v>
      </c>
      <c r="C3" s="56">
        <v>32500</v>
      </c>
      <c r="D3" s="56">
        <v>28000</v>
      </c>
      <c r="E3" s="56">
        <v>40000</v>
      </c>
      <c r="F3" s="56">
        <f>SUM(C3:E3)</f>
        <v>100500</v>
      </c>
      <c r="G3" s="56">
        <f>F3*5%</f>
        <v>5025</v>
      </c>
      <c r="H3" s="3"/>
      <c r="I3" s="3" t="s">
        <v>195</v>
      </c>
      <c r="J3" s="3"/>
      <c r="K3" s="3"/>
      <c r="L3" s="3"/>
      <c r="M3" s="25" t="s">
        <v>200</v>
      </c>
      <c r="N3" s="25">
        <f>LOOKUP(N2,B3:B13,F3:F13)</f>
        <v>107500</v>
      </c>
      <c r="O3" s="25">
        <f>LOOKUP(N2,B3:B13,G3:G13)</f>
        <v>5375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5">
        <v>2</v>
      </c>
      <c r="B4" s="23" t="s">
        <v>85</v>
      </c>
      <c r="C4" s="56">
        <v>27550</v>
      </c>
      <c r="D4" s="56">
        <v>32000</v>
      </c>
      <c r="E4" s="56">
        <v>41000</v>
      </c>
      <c r="F4" s="56">
        <f t="shared" ref="F4:F13" si="0">SUM(C4:E4)</f>
        <v>100550</v>
      </c>
      <c r="G4" s="56">
        <f t="shared" ref="G4:G6" si="1">F4*5%</f>
        <v>5027.5</v>
      </c>
      <c r="H4" s="3"/>
      <c r="I4" s="3" t="s">
        <v>196</v>
      </c>
      <c r="J4" s="3"/>
      <c r="K4" s="3"/>
      <c r="L4" s="3"/>
      <c r="M4" s="25" t="s">
        <v>201</v>
      </c>
      <c r="N4" s="25">
        <f>VLOOKUP(N2,B3:G13,5,FALSE)</f>
        <v>100500</v>
      </c>
      <c r="O4" s="25">
        <f>VLOOKUP(N2,B3:G13,6,FALSE)</f>
        <v>5025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5">
        <v>3</v>
      </c>
      <c r="B5" s="23" t="s">
        <v>86</v>
      </c>
      <c r="C5" s="56">
        <v>34000</v>
      </c>
      <c r="D5" s="56">
        <v>36000</v>
      </c>
      <c r="E5" s="56">
        <v>51000</v>
      </c>
      <c r="F5" s="56">
        <f t="shared" si="0"/>
        <v>121000</v>
      </c>
      <c r="G5" s="56">
        <f t="shared" si="1"/>
        <v>6050</v>
      </c>
      <c r="H5" s="3"/>
      <c r="I5" s="52" t="s">
        <v>197</v>
      </c>
      <c r="J5" s="32"/>
      <c r="K5" s="3"/>
      <c r="L5" s="3"/>
      <c r="M5" s="25" t="s">
        <v>203</v>
      </c>
      <c r="N5" s="25" t="e">
        <f ca="1">XLOOKUP(N2,B3:B13,F3:F13)</f>
        <v>#NAME?</v>
      </c>
      <c r="O5" s="25" t="e">
        <f ca="1">XLOOKUP(N4,B5:B15,G5:G15)</f>
        <v>#NAME?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5">
        <v>4</v>
      </c>
      <c r="B6" s="23" t="s">
        <v>87</v>
      </c>
      <c r="C6" s="56">
        <v>50000</v>
      </c>
      <c r="D6" s="56">
        <v>38000</v>
      </c>
      <c r="E6" s="56">
        <v>49000</v>
      </c>
      <c r="F6" s="56">
        <f t="shared" si="0"/>
        <v>137000</v>
      </c>
      <c r="G6" s="56">
        <f t="shared" si="1"/>
        <v>6850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5">
        <v>5</v>
      </c>
      <c r="B7" s="23" t="s">
        <v>89</v>
      </c>
      <c r="C7" s="56">
        <v>20000</v>
      </c>
      <c r="D7" s="56">
        <v>34000</v>
      </c>
      <c r="E7" s="56">
        <v>45000</v>
      </c>
      <c r="F7" s="56">
        <f t="shared" si="0"/>
        <v>99000</v>
      </c>
      <c r="G7" s="56">
        <f>F7*3%</f>
        <v>2970</v>
      </c>
      <c r="H7" s="3"/>
      <c r="I7" s="52" t="s">
        <v>198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5">
        <v>6</v>
      </c>
      <c r="B8" s="23" t="s">
        <v>90</v>
      </c>
      <c r="C8" s="56">
        <v>18000</v>
      </c>
      <c r="D8" s="56">
        <v>22000</v>
      </c>
      <c r="E8" s="56">
        <v>34000</v>
      </c>
      <c r="F8" s="56">
        <f t="shared" si="0"/>
        <v>74000</v>
      </c>
      <c r="G8" s="56">
        <f>F8*2%</f>
        <v>1480</v>
      </c>
      <c r="H8" s="3"/>
      <c r="I8" s="52" t="s">
        <v>199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5">
        <v>7</v>
      </c>
      <c r="B9" s="23" t="s">
        <v>91</v>
      </c>
      <c r="C9" s="56">
        <v>45000</v>
      </c>
      <c r="D9" s="56">
        <v>39000</v>
      </c>
      <c r="E9" s="56">
        <v>54000</v>
      </c>
      <c r="F9" s="56">
        <f t="shared" si="0"/>
        <v>138000</v>
      </c>
      <c r="G9" s="56">
        <f t="shared" ref="G9:G12" si="2">F9*5%</f>
        <v>6900</v>
      </c>
      <c r="H9" s="3"/>
      <c r="I9" s="33"/>
      <c r="J9" s="3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5">
        <v>8</v>
      </c>
      <c r="B10" s="23" t="s">
        <v>92</v>
      </c>
      <c r="C10" s="56">
        <v>29000</v>
      </c>
      <c r="D10" s="56">
        <v>38000</v>
      </c>
      <c r="E10" s="56">
        <v>40500</v>
      </c>
      <c r="F10" s="56">
        <f t="shared" si="0"/>
        <v>107500</v>
      </c>
      <c r="G10" s="56">
        <f t="shared" si="2"/>
        <v>5375</v>
      </c>
      <c r="H10" s="3"/>
      <c r="I10" s="3"/>
      <c r="J10" s="3" t="s">
        <v>200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5">
        <v>9</v>
      </c>
      <c r="B11" s="23" t="s">
        <v>94</v>
      </c>
      <c r="C11" s="56">
        <v>35000</v>
      </c>
      <c r="D11" s="56">
        <v>28000</v>
      </c>
      <c r="E11" s="56">
        <v>37800</v>
      </c>
      <c r="F11" s="56">
        <f t="shared" si="0"/>
        <v>100800</v>
      </c>
      <c r="G11" s="56">
        <f t="shared" si="2"/>
        <v>5040</v>
      </c>
      <c r="H11" s="3"/>
      <c r="I11" s="3"/>
      <c r="J11" s="3" t="s">
        <v>201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5">
        <v>10</v>
      </c>
      <c r="B12" s="23" t="s">
        <v>95</v>
      </c>
      <c r="C12" s="56">
        <v>42000</v>
      </c>
      <c r="D12" s="56">
        <v>36000</v>
      </c>
      <c r="E12" s="56">
        <v>47000</v>
      </c>
      <c r="F12" s="56">
        <f t="shared" si="0"/>
        <v>125000</v>
      </c>
      <c r="G12" s="56">
        <f t="shared" si="2"/>
        <v>6250</v>
      </c>
      <c r="H12" s="3"/>
      <c r="I12" s="3"/>
      <c r="J12" s="3" t="s">
        <v>202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5">
        <v>11</v>
      </c>
      <c r="B13" s="23" t="s">
        <v>96</v>
      </c>
      <c r="C13" s="56">
        <v>19000</v>
      </c>
      <c r="D13" s="56">
        <v>38700</v>
      </c>
      <c r="E13" s="56">
        <v>42000</v>
      </c>
      <c r="F13" s="56">
        <f t="shared" si="0"/>
        <v>99700</v>
      </c>
      <c r="G13" s="56">
        <f>F13*3%</f>
        <v>2991</v>
      </c>
      <c r="H13" s="3"/>
      <c r="I13" s="3"/>
      <c r="J13" s="3" t="s">
        <v>203</v>
      </c>
      <c r="K13" s="11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1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18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G1"/>
    <mergeCell ref="I9:J9"/>
  </mergeCells>
  <conditionalFormatting sqref="F3:F13">
    <cfRule type="cellIs" dxfId="11" priority="5" operator="greaterThanOrEqual">
      <formula>100000</formula>
    </cfRule>
    <cfRule type="cellIs" dxfId="10" priority="3" operator="lessThan">
      <formula>100000</formula>
    </cfRule>
  </conditionalFormatting>
  <conditionalFormatting sqref="G3:G13">
    <cfRule type="iconSet" priority="1">
      <iconSet iconSet="3Symbol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N2" xr:uid="{B4E63370-74E4-4313-8D60-06DD63131E6C}">
      <formula1>$B$3:$B$13</formula1>
    </dataValidation>
  </dataValidations>
  <pageMargins left="0.7" right="0.7" top="0.75" bottom="0.75" header="0" footer="0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79F173D-F02F-4541-A825-D99476A3345C}">
            <x14:iconSet iconSet="4Arrow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4Arrows" iconId="1"/>
              <x14:cfIcon iconSet="3Arrows" iconId="0"/>
              <x14:cfIcon iconSet="3Arrows" iconId="2"/>
            </x14:iconSet>
          </x14:cfRule>
          <xm:sqref>F3:F13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2AE6-5786-4ADC-9F7E-9D07285452D4}">
  <dimension ref="A1:F12"/>
  <sheetViews>
    <sheetView tabSelected="1" zoomScale="175" zoomScaleNormal="175" workbookViewId="0">
      <selection activeCell="H12" sqref="H12"/>
    </sheetView>
  </sheetViews>
  <sheetFormatPr defaultRowHeight="14.25" x14ac:dyDescent="0.2"/>
  <cols>
    <col min="2" max="4" width="9" customWidth="1"/>
    <col min="5" max="5" width="17.75" customWidth="1"/>
    <col min="6" max="6" width="20.5" customWidth="1"/>
    <col min="7" max="7" width="9" customWidth="1"/>
  </cols>
  <sheetData>
    <row r="1" spans="1:6" ht="15" x14ac:dyDescent="0.25">
      <c r="A1" s="55" t="s">
        <v>79</v>
      </c>
      <c r="B1" s="55" t="s">
        <v>80</v>
      </c>
      <c r="C1" s="55" t="s">
        <v>81</v>
      </c>
      <c r="D1" s="55" t="s">
        <v>82</v>
      </c>
      <c r="E1" s="55" t="s">
        <v>83</v>
      </c>
      <c r="F1" s="55" t="s">
        <v>171</v>
      </c>
    </row>
    <row r="2" spans="1:6" ht="15" x14ac:dyDescent="0.25">
      <c r="A2" s="23" t="s">
        <v>84</v>
      </c>
      <c r="B2" s="56">
        <v>32500</v>
      </c>
      <c r="C2" s="56">
        <v>28000</v>
      </c>
      <c r="D2" s="56">
        <v>40000</v>
      </c>
      <c r="E2" s="56">
        <f>SUM(B2:D2)</f>
        <v>100500</v>
      </c>
      <c r="F2" s="56">
        <f>E2*5%</f>
        <v>5025</v>
      </c>
    </row>
    <row r="3" spans="1:6" ht="15" x14ac:dyDescent="0.25">
      <c r="A3" s="23" t="s">
        <v>92</v>
      </c>
      <c r="B3" s="56">
        <v>29000</v>
      </c>
      <c r="C3" s="56">
        <v>38000</v>
      </c>
      <c r="D3" s="56">
        <v>40500</v>
      </c>
      <c r="E3" s="56">
        <f>SUM(B3:D3)</f>
        <v>107500</v>
      </c>
      <c r="F3" s="56">
        <f>E3*5%</f>
        <v>5375</v>
      </c>
    </row>
    <row r="4" spans="1:6" ht="15" x14ac:dyDescent="0.25">
      <c r="A4" s="23" t="s">
        <v>95</v>
      </c>
      <c r="B4" s="56">
        <v>42000</v>
      </c>
      <c r="C4" s="56">
        <v>36000</v>
      </c>
      <c r="D4" s="56">
        <v>47000</v>
      </c>
      <c r="E4" s="56">
        <f>SUM(B4:D4)</f>
        <v>125000</v>
      </c>
      <c r="F4" s="56">
        <f>E4*5%</f>
        <v>6250</v>
      </c>
    </row>
    <row r="5" spans="1:6" ht="15" x14ac:dyDescent="0.25">
      <c r="A5" s="23" t="s">
        <v>91</v>
      </c>
      <c r="B5" s="56">
        <v>45000</v>
      </c>
      <c r="C5" s="56">
        <v>39000</v>
      </c>
      <c r="D5" s="56">
        <v>54000</v>
      </c>
      <c r="E5" s="56">
        <f>SUM(B5:D5)</f>
        <v>138000</v>
      </c>
      <c r="F5" s="56">
        <f>E5*5%</f>
        <v>6900</v>
      </c>
    </row>
    <row r="6" spans="1:6" ht="15" x14ac:dyDescent="0.25">
      <c r="A6" s="23" t="s">
        <v>87</v>
      </c>
      <c r="B6" s="56">
        <v>50000</v>
      </c>
      <c r="C6" s="56">
        <v>38000</v>
      </c>
      <c r="D6" s="56">
        <v>49000</v>
      </c>
      <c r="E6" s="56">
        <f>SUM(B6:D6)</f>
        <v>137000</v>
      </c>
      <c r="F6" s="56">
        <f>E6*5%</f>
        <v>6850</v>
      </c>
    </row>
    <row r="7" spans="1:6" ht="15" x14ac:dyDescent="0.25">
      <c r="A7" s="23" t="s">
        <v>90</v>
      </c>
      <c r="B7" s="56">
        <v>18000</v>
      </c>
      <c r="C7" s="56">
        <v>22000</v>
      </c>
      <c r="D7" s="56">
        <v>34000</v>
      </c>
      <c r="E7" s="56">
        <f>SUM(B7:D7)</f>
        <v>74000</v>
      </c>
      <c r="F7" s="56">
        <f>E7*2%</f>
        <v>1480</v>
      </c>
    </row>
    <row r="8" spans="1:6" ht="15" x14ac:dyDescent="0.25">
      <c r="A8" s="23" t="s">
        <v>86</v>
      </c>
      <c r="B8" s="56">
        <v>34000</v>
      </c>
      <c r="C8" s="56">
        <v>36000</v>
      </c>
      <c r="D8" s="56">
        <v>51000</v>
      </c>
      <c r="E8" s="56">
        <f>SUM(B8:D8)</f>
        <v>121000</v>
      </c>
      <c r="F8" s="56">
        <f>E8*5%</f>
        <v>6050</v>
      </c>
    </row>
    <row r="9" spans="1:6" ht="15" x14ac:dyDescent="0.25">
      <c r="A9" s="23" t="s">
        <v>94</v>
      </c>
      <c r="B9" s="56">
        <v>35000</v>
      </c>
      <c r="C9" s="56">
        <v>28000</v>
      </c>
      <c r="D9" s="56">
        <v>37800</v>
      </c>
      <c r="E9" s="56">
        <f>SUM(B9:D9)</f>
        <v>100800</v>
      </c>
      <c r="F9" s="56">
        <f>E9*5%</f>
        <v>5040</v>
      </c>
    </row>
    <row r="10" spans="1:6" ht="15" x14ac:dyDescent="0.25">
      <c r="A10" s="23" t="s">
        <v>89</v>
      </c>
      <c r="B10" s="56">
        <v>20000</v>
      </c>
      <c r="C10" s="56">
        <v>34000</v>
      </c>
      <c r="D10" s="56">
        <v>45000</v>
      </c>
      <c r="E10" s="56">
        <f>SUM(B10:D10)</f>
        <v>99000</v>
      </c>
      <c r="F10" s="56">
        <f>E10*3%</f>
        <v>2970</v>
      </c>
    </row>
    <row r="11" spans="1:6" ht="15" x14ac:dyDescent="0.25">
      <c r="A11" s="23" t="s">
        <v>85</v>
      </c>
      <c r="B11" s="56">
        <v>27550</v>
      </c>
      <c r="C11" s="56">
        <v>32000</v>
      </c>
      <c r="D11" s="56">
        <v>41000</v>
      </c>
      <c r="E11" s="56">
        <f>SUM(B11:D11)</f>
        <v>100550</v>
      </c>
      <c r="F11" s="56">
        <f>E11*5%</f>
        <v>5027.5</v>
      </c>
    </row>
    <row r="12" spans="1:6" ht="15" x14ac:dyDescent="0.25">
      <c r="A12" s="23" t="s">
        <v>96</v>
      </c>
      <c r="B12" s="56">
        <v>19000</v>
      </c>
      <c r="C12" s="56">
        <v>38700</v>
      </c>
      <c r="D12" s="56">
        <v>42000</v>
      </c>
      <c r="E12" s="56">
        <f>SUM(B12:D12)</f>
        <v>99700</v>
      </c>
      <c r="F12" s="56">
        <f>E12*3%</f>
        <v>2991</v>
      </c>
    </row>
  </sheetData>
  <autoFilter ref="A2:F12" xr:uid="{97CD8D76-7D4A-4A95-BF9F-1408E4898929}">
    <sortState ref="A3:F12">
      <sortCondition ref="A2:A12"/>
    </sortState>
  </autoFilter>
  <conditionalFormatting sqref="E2:E12">
    <cfRule type="cellIs" dxfId="0" priority="3" operator="lessThan">
      <formula>100000</formula>
    </cfRule>
    <cfRule type="cellIs" dxfId="1" priority="4" operator="greaterThanOrEqual">
      <formula>100000</formula>
    </cfRule>
  </conditionalFormatting>
  <conditionalFormatting sqref="F2:F12">
    <cfRule type="iconSet" priority="1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A0DEA980-6556-4EAA-9D29-A362400F7AE0}">
            <x14:iconSet iconSet="4Arrows" custom="1">
              <x14:cfvo type="percent">
                <xm:f>0</xm:f>
              </x14:cfvo>
              <x14:cfvo type="percent">
                <xm:f>0</xm:f>
              </x14:cfvo>
              <x14:cfvo type="num">
                <xm:f>0</xm:f>
              </x14:cfvo>
              <x14:cfvo type="num">
                <xm:f>100000</xm:f>
              </x14:cfvo>
              <x14:cfIcon iconSet="3Arrows" iconId="0"/>
              <x14:cfIcon iconSet="4Arrows" iconId="1"/>
              <x14:cfIcon iconSet="3Arrows" iconId="0"/>
              <x14:cfIcon iconSet="3Arrows" iconId="2"/>
            </x14:iconSet>
          </x14:cfRule>
          <xm:sqref>E2:E12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fn1</vt:lpstr>
      <vt:lpstr>fn2</vt:lpstr>
      <vt:lpstr>sumif</vt:lpstr>
      <vt:lpstr>sumifs</vt:lpstr>
      <vt:lpstr>sumproduct</vt:lpstr>
      <vt:lpstr>averageif</vt:lpstr>
      <vt:lpstr>count</vt:lpstr>
      <vt:lpstr>datetime</vt:lpstr>
      <vt:lpstr>networkdays</vt:lpstr>
      <vt:lpstr>PMT</vt:lpstr>
      <vt:lpstr>PV</vt:lpstr>
      <vt:lpstr>DB</vt:lpstr>
      <vt:lpstr>cond-format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Jindanet</cp:lastModifiedBy>
  <dcterms:created xsi:type="dcterms:W3CDTF">2018-07-16T07:51:17Z</dcterms:created>
  <dcterms:modified xsi:type="dcterms:W3CDTF">2026-09-09T04:10:32Z</dcterms:modified>
</cp:coreProperties>
</file>