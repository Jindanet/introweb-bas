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Jindanet\Desktop\introweb-bas\week12\ไฟล์ Excel Pivot Table สำหรับผู้เข้าอบรม\"/>
    </mc:Choice>
  </mc:AlternateContent>
  <xr:revisionPtr revIDLastSave="0" documentId="13_ncr:1_{B7C3C70C-F4B3-4C3E-A0F9-90674F664C97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Sheet1" sheetId="2" r:id="rId1"/>
    <sheet name="Data" sheetId="1" r:id="rId2"/>
  </sheets>
  <calcPr calcId="179021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" i="1" l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<sst xmlns="http://schemas.openxmlformats.org/spreadsheetml/2006/main" count="153" uniqueCount="65">
  <si>
    <t>A-60052456</t>
  </si>
  <si>
    <t>นิคส์</t>
  </si>
  <si>
    <t>Cannon</t>
  </si>
  <si>
    <t>EOS7D</t>
  </si>
  <si>
    <t>A-60052457</t>
  </si>
  <si>
    <t>ฟูจิคาเมรา</t>
  </si>
  <si>
    <t>A-60052458</t>
  </si>
  <si>
    <t>รีวิวคาเมรา</t>
  </si>
  <si>
    <t>FujiFilm</t>
  </si>
  <si>
    <t>FINEPIX S-1600</t>
  </si>
  <si>
    <t>A-60052459</t>
  </si>
  <si>
    <t>บาสต์</t>
  </si>
  <si>
    <t>A-60052460</t>
  </si>
  <si>
    <t>อีซีคาเมรา</t>
  </si>
  <si>
    <t>A-60052461</t>
  </si>
  <si>
    <t>โฟโต้ดิจิตอล</t>
  </si>
  <si>
    <t>A-60052462</t>
  </si>
  <si>
    <t>ไทยดิจิตอล</t>
  </si>
  <si>
    <t>Pentax</t>
  </si>
  <si>
    <t>K-m</t>
  </si>
  <si>
    <t>A-60052463</t>
  </si>
  <si>
    <t>A-60052464</t>
  </si>
  <si>
    <t>A-60052465</t>
  </si>
  <si>
    <t>Optio P70</t>
  </si>
  <si>
    <t>A-60052466</t>
  </si>
  <si>
    <t>A-60052467</t>
  </si>
  <si>
    <t>A-60052468</t>
  </si>
  <si>
    <t xml:space="preserve">Nikon </t>
  </si>
  <si>
    <t>D-5000</t>
  </si>
  <si>
    <t>A-60052469</t>
  </si>
  <si>
    <t>Kodak</t>
  </si>
  <si>
    <t>M-550</t>
  </si>
  <si>
    <t>A-60052470</t>
  </si>
  <si>
    <t>A-60052471</t>
  </si>
  <si>
    <t>Brica</t>
  </si>
  <si>
    <t>HD-HG1</t>
  </si>
  <si>
    <t>A-60052472</t>
  </si>
  <si>
    <t>A-60052473</t>
  </si>
  <si>
    <t>A-60052474</t>
  </si>
  <si>
    <t>D-3000</t>
  </si>
  <si>
    <t>A-60052475</t>
  </si>
  <si>
    <t>A-60052476</t>
  </si>
  <si>
    <t>EF50mm</t>
  </si>
  <si>
    <t>A-60052477</t>
  </si>
  <si>
    <t>EF75mm</t>
  </si>
  <si>
    <t>A-60052478</t>
  </si>
  <si>
    <t>SB-800</t>
  </si>
  <si>
    <t>A-60052479</t>
  </si>
  <si>
    <t>A-60052480</t>
  </si>
  <si>
    <t>A-60052481</t>
  </si>
  <si>
    <t>A-60052482</t>
  </si>
  <si>
    <t>A-60052483</t>
  </si>
  <si>
    <t>A-60052484</t>
  </si>
  <si>
    <t>Date</t>
  </si>
  <si>
    <t>Order</t>
  </si>
  <si>
    <t>vender</t>
  </si>
  <si>
    <t>model</t>
  </si>
  <si>
    <t>price</t>
  </si>
  <si>
    <t>qty</t>
  </si>
  <si>
    <t>brand</t>
  </si>
  <si>
    <t>total price</t>
  </si>
  <si>
    <t>Row Labels</t>
  </si>
  <si>
    <t>Grand Total</t>
  </si>
  <si>
    <t>Column Labels</t>
  </si>
  <si>
    <t>Sum of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</si>
</sst>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_-;\-* #,##0.00_-;_-* &quot;-&quot;??_-;_-@_-"/>
  </numFmts>
  <fonts count="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pivotButton="1" applyNumberFormat="1"/>
    <xf numFmtId="2" fontId="0" fillId="0" borderId="0" xfId="0" applyNumberFormat="1"/>
  </cellXfs>
  <cellStyles count="2">
    <cellStyle name="Comma" xfId="1" builtinId="3"/>
    <cellStyle name="Normal" xfId="0" builtinId="0"/>
  </cellStyles>
  <dxfs count="6">
    <dxf>
      <numFmt numFmtId="2" formatCode="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2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danet" refreshedDate="46281.462829976852" createdVersion="6" refreshedVersion="6" minRefreshableVersion="3" recordCount="29" xr:uid="{791CC8EA-56FC-45B3-8448-68C8B361BDBE}">
  <cacheSource type="worksheet">
    <worksheetSource name="Table1"/>
  </cacheSource>
  <cacheFields count="8">
    <cacheField name="Order" numFmtId="0">
      <sharedItems/>
    </cacheField>
    <cacheField name="Date" numFmtId="14">
      <sharedItems containsSemiMixedTypes="0" containsNonDate="0" containsDate="1" containsString="0" minDate="2010-01-05T00:00:00" maxDate="2010-08-06T00:00:00"/>
    </cacheField>
    <cacheField name="vender" numFmtId="0">
      <sharedItems count="7">
        <s v="นิคส์"/>
        <s v="ฟูจิคาเมรา"/>
        <s v="รีวิวคาเมรา"/>
        <s v="บาสต์"/>
        <s v="อีซีคาเมรา"/>
        <s v="โฟโต้ดิจิตอล"/>
        <s v="ไทยดิจิตอล"/>
      </sharedItems>
    </cacheField>
    <cacheField name="brand" numFmtId="0">
      <sharedItems count="6">
        <s v="Cannon"/>
        <s v="FujiFilm"/>
        <s v="Pentax"/>
        <s v="Nikon "/>
        <s v="Kodak"/>
        <s v="Brica"/>
      </sharedItems>
    </cacheField>
    <cacheField name="model" numFmtId="0">
      <sharedItems count="11">
        <s v="EOS7D"/>
        <s v="FINEPIX S-1600"/>
        <s v="K-m"/>
        <s v="Optio P70"/>
        <s v="D-5000"/>
        <s v="M-550"/>
        <s v="HD-HG1"/>
        <s v="D-3000"/>
        <s v="EF50mm"/>
        <s v="EF75mm"/>
        <s v="SB-800"/>
      </sharedItems>
    </cacheField>
    <cacheField name="price" numFmtId="164">
      <sharedItems containsSemiMixedTypes="0" containsString="0" containsNumber="1" containsInteger="1" minValue="1600" maxValue="29205"/>
    </cacheField>
    <cacheField name="qty" numFmtId="0">
      <sharedItems containsSemiMixedTypes="0" containsString="0" containsNumber="1" containsInteger="1" minValue="15" maxValue="350" count="23">
        <n v="35"/>
        <n v="150"/>
        <n v="85"/>
        <n v="100"/>
        <n v="45"/>
        <n v="60"/>
        <n v="15"/>
        <n v="65"/>
        <n v="74"/>
        <n v="48"/>
        <n v="55"/>
        <n v="69"/>
        <n v="120"/>
        <n v="20"/>
        <n v="39"/>
        <n v="80"/>
        <n v="70"/>
        <n v="180"/>
        <n v="260"/>
        <n v="300"/>
        <n v="350"/>
        <n v="190"/>
        <n v="280"/>
      </sharedItems>
    </cacheField>
    <cacheField name="total price" numFmtId="164">
      <sharedItems containsSemiMixedTypes="0" containsString="0" containsNumber="1" containsInteger="1" minValue="109200" maxValue="10221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A-60052456"/>
    <d v="2010-01-05T00:00:00"/>
    <x v="0"/>
    <x v="0"/>
    <x v="0"/>
    <n v="29205"/>
    <x v="0"/>
    <n v="1022175"/>
  </r>
  <r>
    <s v="A-60052457"/>
    <d v="2010-01-15T00:00:00"/>
    <x v="1"/>
    <x v="0"/>
    <x v="0"/>
    <n v="29205"/>
    <x v="1"/>
    <n v="4380750"/>
  </r>
  <r>
    <s v="A-60052458"/>
    <d v="2010-02-03T00:00:00"/>
    <x v="2"/>
    <x v="1"/>
    <x v="1"/>
    <n v="3597"/>
    <x v="2"/>
    <n v="305745"/>
  </r>
  <r>
    <s v="A-60052459"/>
    <d v="2010-02-05T00:00:00"/>
    <x v="3"/>
    <x v="1"/>
    <x v="1"/>
    <n v="3597"/>
    <x v="3"/>
    <n v="359700"/>
  </r>
  <r>
    <s v="A-60052460"/>
    <d v="2010-02-25T00:00:00"/>
    <x v="4"/>
    <x v="1"/>
    <x v="1"/>
    <n v="3597"/>
    <x v="4"/>
    <n v="161865"/>
  </r>
  <r>
    <s v="A-60052461"/>
    <d v="2010-03-03T00:00:00"/>
    <x v="5"/>
    <x v="0"/>
    <x v="0"/>
    <n v="29205"/>
    <x v="5"/>
    <n v="1752300"/>
  </r>
  <r>
    <s v="A-60052462"/>
    <d v="2010-03-07T00:00:00"/>
    <x v="6"/>
    <x v="2"/>
    <x v="2"/>
    <n v="9200"/>
    <x v="6"/>
    <n v="138000"/>
  </r>
  <r>
    <s v="A-60052463"/>
    <d v="2010-03-11T00:00:00"/>
    <x v="0"/>
    <x v="0"/>
    <x v="0"/>
    <n v="29205"/>
    <x v="7"/>
    <n v="1898325"/>
  </r>
  <r>
    <s v="A-60052464"/>
    <d v="2010-04-18T00:00:00"/>
    <x v="1"/>
    <x v="2"/>
    <x v="2"/>
    <n v="9200"/>
    <x v="8"/>
    <n v="680800"/>
  </r>
  <r>
    <s v="A-60052465"/>
    <d v="2010-04-28T00:00:00"/>
    <x v="2"/>
    <x v="2"/>
    <x v="3"/>
    <n v="3500"/>
    <x v="9"/>
    <n v="168000"/>
  </r>
  <r>
    <s v="A-60052466"/>
    <d v="2010-05-06T00:00:00"/>
    <x v="3"/>
    <x v="2"/>
    <x v="2"/>
    <n v="9200"/>
    <x v="10"/>
    <n v="506000"/>
  </r>
  <r>
    <s v="A-60052467"/>
    <d v="2010-05-14T00:00:00"/>
    <x v="4"/>
    <x v="1"/>
    <x v="1"/>
    <n v="3597"/>
    <x v="11"/>
    <n v="248193"/>
  </r>
  <r>
    <s v="A-60052468"/>
    <d v="2010-05-17T00:00:00"/>
    <x v="5"/>
    <x v="3"/>
    <x v="4"/>
    <n v="15000"/>
    <x v="12"/>
    <n v="1800000"/>
  </r>
  <r>
    <s v="A-60052469"/>
    <d v="2010-06-22T00:00:00"/>
    <x v="6"/>
    <x v="4"/>
    <x v="5"/>
    <n v="2800"/>
    <x v="1"/>
    <n v="420000"/>
  </r>
  <r>
    <s v="A-60052470"/>
    <d v="2010-06-25T00:00:00"/>
    <x v="0"/>
    <x v="3"/>
    <x v="4"/>
    <n v="15000"/>
    <x v="13"/>
    <n v="300000"/>
  </r>
  <r>
    <s v="A-60052471"/>
    <d v="2010-06-27T00:00:00"/>
    <x v="1"/>
    <x v="5"/>
    <x v="6"/>
    <n v="3200"/>
    <x v="0"/>
    <n v="112000"/>
  </r>
  <r>
    <s v="A-60052472"/>
    <d v="2010-07-01T00:00:00"/>
    <x v="2"/>
    <x v="5"/>
    <x v="6"/>
    <n v="3200"/>
    <x v="9"/>
    <n v="153600"/>
  </r>
  <r>
    <s v="A-60052473"/>
    <d v="2010-07-03T00:00:00"/>
    <x v="3"/>
    <x v="4"/>
    <x v="5"/>
    <n v="2800"/>
    <x v="14"/>
    <n v="109200"/>
  </r>
  <r>
    <s v="A-60052474"/>
    <d v="2010-07-05T00:00:00"/>
    <x v="4"/>
    <x v="3"/>
    <x v="7"/>
    <n v="12500"/>
    <x v="2"/>
    <n v="1062500"/>
  </r>
  <r>
    <s v="A-60052475"/>
    <d v="2010-07-07T00:00:00"/>
    <x v="5"/>
    <x v="4"/>
    <x v="5"/>
    <n v="2800"/>
    <x v="15"/>
    <n v="224000"/>
  </r>
  <r>
    <s v="A-60052476"/>
    <d v="2010-07-12T00:00:00"/>
    <x v="6"/>
    <x v="0"/>
    <x v="8"/>
    <n v="1600"/>
    <x v="16"/>
    <n v="112000"/>
  </r>
  <r>
    <s v="A-60052477"/>
    <d v="2010-07-13T00:00:00"/>
    <x v="0"/>
    <x v="0"/>
    <x v="9"/>
    <n v="13000"/>
    <x v="5"/>
    <n v="780000"/>
  </r>
  <r>
    <s v="A-60052478"/>
    <d v="2010-07-20T00:00:00"/>
    <x v="1"/>
    <x v="3"/>
    <x v="10"/>
    <n v="9500"/>
    <x v="1"/>
    <n v="1425000"/>
  </r>
  <r>
    <s v="A-60052479"/>
    <d v="2010-07-21T00:00:00"/>
    <x v="2"/>
    <x v="1"/>
    <x v="1"/>
    <n v="3597"/>
    <x v="17"/>
    <n v="647460"/>
  </r>
  <r>
    <s v="A-60052480"/>
    <d v="2010-07-25T00:00:00"/>
    <x v="3"/>
    <x v="4"/>
    <x v="5"/>
    <n v="2800"/>
    <x v="18"/>
    <n v="728000"/>
  </r>
  <r>
    <s v="A-60052481"/>
    <d v="2010-07-27T00:00:00"/>
    <x v="4"/>
    <x v="5"/>
    <x v="6"/>
    <n v="3200"/>
    <x v="19"/>
    <n v="960000"/>
  </r>
  <r>
    <s v="A-60052482"/>
    <d v="2010-07-28T00:00:00"/>
    <x v="5"/>
    <x v="0"/>
    <x v="0"/>
    <n v="29205"/>
    <x v="20"/>
    <n v="10221750"/>
  </r>
  <r>
    <s v="A-60052483"/>
    <d v="2010-07-29T00:00:00"/>
    <x v="6"/>
    <x v="4"/>
    <x v="5"/>
    <n v="2800"/>
    <x v="21"/>
    <n v="532000"/>
  </r>
  <r>
    <s v="A-60052484"/>
    <d v="2010-08-05T00:00:00"/>
    <x v="0"/>
    <x v="2"/>
    <x v="3"/>
    <n v="3500"/>
    <x v="22"/>
    <n v="98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88CD8-A0DF-47F9-8F77-1E9DE1763B87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22" firstHeaderRow="1" firstDataRow="2" firstDataCol="1"/>
  <pivotFields count="8">
    <pivotField showAll="0"/>
    <pivotField numFmtId="14" showAll="0"/>
    <pivotField axis="axisCol" showAll="0">
      <items count="8">
        <item x="5"/>
        <item x="6"/>
        <item x="0"/>
        <item x="3"/>
        <item x="1"/>
        <item x="2"/>
        <item x="4"/>
        <item t="default"/>
      </items>
    </pivotField>
    <pivotField axis="axisRow" showAll="0">
      <items count="7">
        <item x="5"/>
        <item x="0"/>
        <item x="1"/>
        <item x="4"/>
        <item x="3"/>
        <item x="2"/>
        <item t="default"/>
      </items>
    </pivotField>
    <pivotField axis="axisRow" showAll="0">
      <items count="12">
        <item x="7"/>
        <item x="4"/>
        <item x="8"/>
        <item x="9"/>
        <item x="0"/>
        <item x="1"/>
        <item x="6"/>
        <item x="2"/>
        <item x="5"/>
        <item x="3"/>
        <item x="10"/>
        <item t="default"/>
      </items>
    </pivotField>
    <pivotField numFmtId="164" showAll="0"/>
    <pivotField showAll="0">
      <items count="24">
        <item x="6"/>
        <item x="13"/>
        <item x="0"/>
        <item x="14"/>
        <item x="4"/>
        <item x="9"/>
        <item x="10"/>
        <item x="5"/>
        <item x="7"/>
        <item x="11"/>
        <item x="16"/>
        <item x="8"/>
        <item x="15"/>
        <item x="2"/>
        <item x="3"/>
        <item x="12"/>
        <item x="1"/>
        <item x="17"/>
        <item x="21"/>
        <item x="18"/>
        <item x="22"/>
        <item x="19"/>
        <item x="20"/>
        <item t="default"/>
      </items>
    </pivotField>
    <pivotField dataField="1" numFmtId="164" showAll="0"/>
  </pivotFields>
  <rowFields count="2">
    <field x="3"/>
    <field x="4"/>
  </rowFields>
  <rowItems count="18">
    <i>
      <x/>
    </i>
    <i r="1">
      <x v="6"/>
    </i>
    <i>
      <x v="1"/>
    </i>
    <i r="1">
      <x v="2"/>
    </i>
    <i r="1">
      <x v="3"/>
    </i>
    <i r="1">
      <x v="4"/>
    </i>
    <i>
      <x v="2"/>
    </i>
    <i r="1">
      <x v="5"/>
    </i>
    <i>
      <x v="3"/>
    </i>
    <i r="1">
      <x v="8"/>
    </i>
    <i>
      <x v="4"/>
    </i>
    <i r="1">
      <x/>
    </i>
    <i r="1">
      <x v="1"/>
    </i>
    <i r="1">
      <x v="10"/>
    </i>
    <i>
      <x v="5"/>
    </i>
    <i r="1">
      <x v="7"/>
    </i>
    <i r="1">
      <x v="9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 price" fld="7" baseField="0" baseItem="0" numFmtId="2"/>
  </dataFields>
  <formats count="2">
    <format dxfId="2">
      <pivotArea type="origin" dataOnly="0" labelOnly="1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2A7ECF-E6F7-4D65-B624-2CBB1E81A437}" name="Table1" displayName="Table1" ref="A1:H30" totalsRowShown="0">
  <autoFilter ref="A1:H30" xr:uid="{9B0446F7-CD71-437D-B766-193277A86972}"/>
  <tableColumns count="8">
    <tableColumn id="1" xr3:uid="{1BB9CF47-FAA8-4300-AD0A-1379DA7F0DBE}" name="Order"/>
    <tableColumn id="2" xr3:uid="{E64D2293-5CAB-4700-8AE5-E9D691566B47}" name="Date" dataDxfId="5"/>
    <tableColumn id="3" xr3:uid="{9029261A-CB85-4DB6-B1AF-B1482C66E697}" name="vender"/>
    <tableColumn id="4" xr3:uid="{725DB948-ED2C-4F5D-932F-3AF2E7D8A864}" name="brand"/>
    <tableColumn id="5" xr3:uid="{E3E86BF1-D6D7-421D-BA30-99CEE3EC328C}" name="model"/>
    <tableColumn id="6" xr3:uid="{A7D78743-94B0-41DB-8553-25F067D257D4}" name="price" dataDxfId="4" dataCellStyle="Comma"/>
    <tableColumn id="7" xr3:uid="{60EFE916-2834-43F7-8DF3-E67276EF2FEC}" name="qty"/>
    <tableColumn id="8" xr3:uid="{ED357D35-CF6E-47A8-97ED-53FF46B494B4}" name="total price" dataDxfId="3" dataCellStyle="Comma">
      <calculatedColumnFormula>F2*G2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0998-E8CF-4BA0-A817-7821AEBACAF2}">
  <dimension ref="A3:I22"/>
  <sheetViews>
    <sheetView tabSelected="1" workbookViewId="0">
      <selection activeCell="L24" sqref="L24"/>
    </sheetView>
  </sheetViews>
  <sheetFormatPr defaultRowHeight="15"/>
  <cols>
    <col min="1" max="1" width="17.85546875" bestFit="1" customWidth="1"/>
    <col min="2" max="2" width="16.42578125" bestFit="1" customWidth="1"/>
    <col min="3" max="3" width="12.28515625" bestFit="1" customWidth="1"/>
    <col min="4" max="5" width="10.5703125" bestFit="1" customWidth="1"/>
    <col min="6" max="6" width="11.140625" bestFit="1" customWidth="1"/>
    <col min="7" max="7" width="11.5703125" bestFit="1" customWidth="1"/>
    <col min="8" max="8" width="11.28515625" bestFit="1" customWidth="1"/>
    <col min="9" max="9" width="11.5703125" bestFit="1" customWidth="1"/>
    <col min="10" max="10" width="4" bestFit="1" customWidth="1"/>
    <col min="11" max="11" width="17.42578125" bestFit="1" customWidth="1"/>
    <col min="12" max="12" width="7.140625" bestFit="1" customWidth="1"/>
    <col min="13" max="15" width="3" bestFit="1" customWidth="1"/>
    <col min="16" max="16" width="4" bestFit="1" customWidth="1"/>
    <col min="17" max="17" width="10.28515625" bestFit="1" customWidth="1"/>
    <col min="18" max="18" width="8.28515625" bestFit="1" customWidth="1"/>
    <col min="19" max="19" width="3" bestFit="1" customWidth="1"/>
    <col min="20" max="21" width="4" bestFit="1" customWidth="1"/>
    <col min="22" max="22" width="11.42578125" bestFit="1" customWidth="1"/>
    <col min="23" max="23" width="12.85546875" bestFit="1" customWidth="1"/>
    <col min="24" max="24" width="3" bestFit="1" customWidth="1"/>
    <col min="25" max="25" width="4" bestFit="1" customWidth="1"/>
    <col min="26" max="26" width="16.140625" bestFit="1" customWidth="1"/>
    <col min="27" max="27" width="13.28515625" bestFit="1" customWidth="1"/>
    <col min="28" max="28" width="3" bestFit="1" customWidth="1"/>
    <col min="29" max="29" width="4" bestFit="1" customWidth="1"/>
    <col min="30" max="30" width="16.5703125" bestFit="1" customWidth="1"/>
    <col min="31" max="31" width="13" bestFit="1" customWidth="1"/>
    <col min="32" max="33" width="3" bestFit="1" customWidth="1"/>
    <col min="34" max="34" width="4" bestFit="1" customWidth="1"/>
    <col min="35" max="35" width="16.28515625" bestFit="1" customWidth="1"/>
    <col min="36" max="36" width="11.28515625" bestFit="1" customWidth="1"/>
  </cols>
  <sheetData>
    <row r="3" spans="1:9">
      <c r="A3" s="6" t="s">
        <v>64</v>
      </c>
      <c r="B3" s="3" t="s">
        <v>63</v>
      </c>
    </row>
    <row r="4" spans="1:9">
      <c r="A4" s="3" t="s">
        <v>61</v>
      </c>
      <c r="B4" t="s">
        <v>15</v>
      </c>
      <c r="C4" t="s">
        <v>17</v>
      </c>
      <c r="D4" t="s">
        <v>1</v>
      </c>
      <c r="E4" t="s">
        <v>11</v>
      </c>
      <c r="F4" t="s">
        <v>5</v>
      </c>
      <c r="G4" t="s">
        <v>7</v>
      </c>
      <c r="H4" t="s">
        <v>13</v>
      </c>
      <c r="I4" t="s">
        <v>62</v>
      </c>
    </row>
    <row r="5" spans="1:9">
      <c r="A5" s="4" t="s">
        <v>34</v>
      </c>
      <c r="B5" s="7"/>
      <c r="C5" s="7"/>
      <c r="D5" s="7"/>
      <c r="E5" s="7"/>
      <c r="F5" s="7">
        <v>112000</v>
      </c>
      <c r="G5" s="7">
        <v>153600</v>
      </c>
      <c r="H5" s="7">
        <v>960000</v>
      </c>
      <c r="I5" s="7">
        <v>1225600</v>
      </c>
    </row>
    <row r="6" spans="1:9">
      <c r="A6" s="5" t="s">
        <v>35</v>
      </c>
      <c r="B6" s="7"/>
      <c r="C6" s="7"/>
      <c r="D6" s="7"/>
      <c r="E6" s="7"/>
      <c r="F6" s="7">
        <v>112000</v>
      </c>
      <c r="G6" s="7">
        <v>153600</v>
      </c>
      <c r="H6" s="7">
        <v>960000</v>
      </c>
      <c r="I6" s="7">
        <v>1225600</v>
      </c>
    </row>
    <row r="7" spans="1:9">
      <c r="A7" s="4" t="s">
        <v>2</v>
      </c>
      <c r="B7" s="7">
        <v>11974050</v>
      </c>
      <c r="C7" s="7">
        <v>112000</v>
      </c>
      <c r="D7" s="7">
        <v>3700500</v>
      </c>
      <c r="E7" s="7"/>
      <c r="F7" s="7">
        <v>4380750</v>
      </c>
      <c r="G7" s="7"/>
      <c r="H7" s="7"/>
      <c r="I7" s="7">
        <v>20167300</v>
      </c>
    </row>
    <row r="8" spans="1:9">
      <c r="A8" s="5" t="s">
        <v>42</v>
      </c>
      <c r="B8" s="7"/>
      <c r="C8" s="7">
        <v>112000</v>
      </c>
      <c r="D8" s="7"/>
      <c r="E8" s="7"/>
      <c r="F8" s="7"/>
      <c r="G8" s="7"/>
      <c r="H8" s="7"/>
      <c r="I8" s="7">
        <v>112000</v>
      </c>
    </row>
    <row r="9" spans="1:9">
      <c r="A9" s="5" t="s">
        <v>44</v>
      </c>
      <c r="B9" s="7"/>
      <c r="C9" s="7"/>
      <c r="D9" s="7">
        <v>780000</v>
      </c>
      <c r="E9" s="7"/>
      <c r="F9" s="7"/>
      <c r="G9" s="7"/>
      <c r="H9" s="7"/>
      <c r="I9" s="7">
        <v>780000</v>
      </c>
    </row>
    <row r="10" spans="1:9">
      <c r="A10" s="5" t="s">
        <v>3</v>
      </c>
      <c r="B10" s="7">
        <v>11974050</v>
      </c>
      <c r="C10" s="7"/>
      <c r="D10" s="7">
        <v>2920500</v>
      </c>
      <c r="E10" s="7"/>
      <c r="F10" s="7">
        <v>4380750</v>
      </c>
      <c r="G10" s="7"/>
      <c r="H10" s="7"/>
      <c r="I10" s="7">
        <v>19275300</v>
      </c>
    </row>
    <row r="11" spans="1:9">
      <c r="A11" s="4" t="s">
        <v>8</v>
      </c>
      <c r="B11" s="7"/>
      <c r="C11" s="7"/>
      <c r="D11" s="7"/>
      <c r="E11" s="7">
        <v>359700</v>
      </c>
      <c r="F11" s="7"/>
      <c r="G11" s="7">
        <v>953205</v>
      </c>
      <c r="H11" s="7">
        <v>410058</v>
      </c>
      <c r="I11" s="7">
        <v>1722963</v>
      </c>
    </row>
    <row r="12" spans="1:9">
      <c r="A12" s="5" t="s">
        <v>9</v>
      </c>
      <c r="B12" s="7"/>
      <c r="C12" s="7"/>
      <c r="D12" s="7"/>
      <c r="E12" s="7">
        <v>359700</v>
      </c>
      <c r="F12" s="7"/>
      <c r="G12" s="7">
        <v>953205</v>
      </c>
      <c r="H12" s="7">
        <v>410058</v>
      </c>
      <c r="I12" s="7">
        <v>1722963</v>
      </c>
    </row>
    <row r="13" spans="1:9">
      <c r="A13" s="4" t="s">
        <v>30</v>
      </c>
      <c r="B13" s="7">
        <v>224000</v>
      </c>
      <c r="C13" s="7">
        <v>952000</v>
      </c>
      <c r="D13" s="7"/>
      <c r="E13" s="7">
        <v>837200</v>
      </c>
      <c r="F13" s="7"/>
      <c r="G13" s="7"/>
      <c r="H13" s="7"/>
      <c r="I13" s="7">
        <v>2013200</v>
      </c>
    </row>
    <row r="14" spans="1:9">
      <c r="A14" s="5" t="s">
        <v>31</v>
      </c>
      <c r="B14" s="7">
        <v>224000</v>
      </c>
      <c r="C14" s="7">
        <v>952000</v>
      </c>
      <c r="D14" s="7"/>
      <c r="E14" s="7">
        <v>837200</v>
      </c>
      <c r="F14" s="7"/>
      <c r="G14" s="7"/>
      <c r="H14" s="7"/>
      <c r="I14" s="7">
        <v>2013200</v>
      </c>
    </row>
    <row r="15" spans="1:9">
      <c r="A15" s="4" t="s">
        <v>27</v>
      </c>
      <c r="B15" s="7">
        <v>1800000</v>
      </c>
      <c r="C15" s="7"/>
      <c r="D15" s="7">
        <v>300000</v>
      </c>
      <c r="E15" s="7"/>
      <c r="F15" s="7">
        <v>1425000</v>
      </c>
      <c r="G15" s="7"/>
      <c r="H15" s="7">
        <v>1062500</v>
      </c>
      <c r="I15" s="7">
        <v>4587500</v>
      </c>
    </row>
    <row r="16" spans="1:9">
      <c r="A16" s="5" t="s">
        <v>39</v>
      </c>
      <c r="B16" s="7"/>
      <c r="C16" s="7"/>
      <c r="D16" s="7"/>
      <c r="E16" s="7"/>
      <c r="F16" s="7"/>
      <c r="G16" s="7"/>
      <c r="H16" s="7">
        <v>1062500</v>
      </c>
      <c r="I16" s="7">
        <v>1062500</v>
      </c>
    </row>
    <row r="17" spans="1:9">
      <c r="A17" s="5" t="s">
        <v>28</v>
      </c>
      <c r="B17" s="7">
        <v>1800000</v>
      </c>
      <c r="C17" s="7"/>
      <c r="D17" s="7">
        <v>300000</v>
      </c>
      <c r="E17" s="7"/>
      <c r="F17" s="7"/>
      <c r="G17" s="7"/>
      <c r="H17" s="7"/>
      <c r="I17" s="7">
        <v>2100000</v>
      </c>
    </row>
    <row r="18" spans="1:9">
      <c r="A18" s="5" t="s">
        <v>46</v>
      </c>
      <c r="B18" s="7"/>
      <c r="C18" s="7"/>
      <c r="D18" s="7"/>
      <c r="E18" s="7"/>
      <c r="F18" s="7">
        <v>1425000</v>
      </c>
      <c r="G18" s="7"/>
      <c r="H18" s="7"/>
      <c r="I18" s="7">
        <v>1425000</v>
      </c>
    </row>
    <row r="19" spans="1:9">
      <c r="A19" s="4" t="s">
        <v>18</v>
      </c>
      <c r="B19" s="7"/>
      <c r="C19" s="7">
        <v>138000</v>
      </c>
      <c r="D19" s="7">
        <v>980000</v>
      </c>
      <c r="E19" s="7">
        <v>506000</v>
      </c>
      <c r="F19" s="7">
        <v>680800</v>
      </c>
      <c r="G19" s="7">
        <v>168000</v>
      </c>
      <c r="H19" s="7"/>
      <c r="I19" s="7">
        <v>2472800</v>
      </c>
    </row>
    <row r="20" spans="1:9">
      <c r="A20" s="5" t="s">
        <v>19</v>
      </c>
      <c r="B20" s="7"/>
      <c r="C20" s="7">
        <v>138000</v>
      </c>
      <c r="D20" s="7"/>
      <c r="E20" s="7">
        <v>506000</v>
      </c>
      <c r="F20" s="7">
        <v>680800</v>
      </c>
      <c r="G20" s="7"/>
      <c r="H20" s="7"/>
      <c r="I20" s="7">
        <v>1324800</v>
      </c>
    </row>
    <row r="21" spans="1:9">
      <c r="A21" s="5" t="s">
        <v>23</v>
      </c>
      <c r="B21" s="7"/>
      <c r="C21" s="7"/>
      <c r="D21" s="7">
        <v>980000</v>
      </c>
      <c r="E21" s="7"/>
      <c r="F21" s="7"/>
      <c r="G21" s="7">
        <v>168000</v>
      </c>
      <c r="H21" s="7"/>
      <c r="I21" s="7">
        <v>1148000</v>
      </c>
    </row>
    <row r="22" spans="1:9">
      <c r="A22" s="4" t="s">
        <v>62</v>
      </c>
      <c r="B22" s="7">
        <v>13998050</v>
      </c>
      <c r="C22" s="7">
        <v>1202000</v>
      </c>
      <c r="D22" s="7">
        <v>4980500</v>
      </c>
      <c r="E22" s="7">
        <v>1702900</v>
      </c>
      <c r="F22" s="7">
        <v>6598550</v>
      </c>
      <c r="G22" s="7">
        <v>1274805</v>
      </c>
      <c r="H22" s="7">
        <v>2432558</v>
      </c>
      <c r="I22" s="7">
        <v>32189363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zoomScale="115" zoomScaleNormal="115" workbookViewId="0">
      <selection activeCell="B6" sqref="B6"/>
    </sheetView>
  </sheetViews>
  <sheetFormatPr defaultRowHeight="15"/>
  <cols>
    <col min="1" max="1" width="12.5703125" customWidth="1"/>
    <col min="2" max="2" width="13" customWidth="1"/>
    <col min="3" max="3" width="11.5703125" customWidth="1"/>
    <col min="4" max="5" width="10.5703125" customWidth="1"/>
    <col min="6" max="6" width="12.7109375" customWidth="1"/>
    <col min="7" max="7" width="10.5703125" customWidth="1"/>
    <col min="8" max="8" width="15.5703125" customWidth="1"/>
  </cols>
  <sheetData>
    <row r="1" spans="1:8">
      <c r="A1" t="s">
        <v>54</v>
      </c>
      <c r="B1" s="1" t="s">
        <v>53</v>
      </c>
      <c r="C1" t="s">
        <v>55</v>
      </c>
      <c r="D1" t="s">
        <v>59</v>
      </c>
      <c r="E1" t="s">
        <v>56</v>
      </c>
      <c r="F1" s="2" t="s">
        <v>57</v>
      </c>
      <c r="G1" t="s">
        <v>58</v>
      </c>
      <c r="H1" s="2" t="s">
        <v>60</v>
      </c>
    </row>
    <row r="2" spans="1:8">
      <c r="A2" t="s">
        <v>0</v>
      </c>
      <c r="B2" s="1">
        <v>40183</v>
      </c>
      <c r="C2" t="s">
        <v>1</v>
      </c>
      <c r="D2" t="s">
        <v>2</v>
      </c>
      <c r="E2" t="s">
        <v>3</v>
      </c>
      <c r="F2" s="2">
        <v>29205</v>
      </c>
      <c r="G2">
        <v>35</v>
      </c>
      <c r="H2" s="2">
        <f>F2*G2</f>
        <v>1022175</v>
      </c>
    </row>
    <row r="3" spans="1:8">
      <c r="A3" t="s">
        <v>4</v>
      </c>
      <c r="B3" s="1">
        <v>40193</v>
      </c>
      <c r="C3" t="s">
        <v>5</v>
      </c>
      <c r="D3" t="s">
        <v>2</v>
      </c>
      <c r="E3" t="s">
        <v>3</v>
      </c>
      <c r="F3" s="2">
        <v>29205</v>
      </c>
      <c r="G3">
        <v>150</v>
      </c>
      <c r="H3" s="2">
        <f t="shared" ref="H3:H30" si="0">F3*G3</f>
        <v>4380750</v>
      </c>
    </row>
    <row r="4" spans="1:8">
      <c r="A4" t="s">
        <v>6</v>
      </c>
      <c r="B4" s="1">
        <v>40212</v>
      </c>
      <c r="C4" t="s">
        <v>7</v>
      </c>
      <c r="D4" t="s">
        <v>8</v>
      </c>
      <c r="E4" t="s">
        <v>9</v>
      </c>
      <c r="F4" s="2">
        <v>3597</v>
      </c>
      <c r="G4">
        <v>85</v>
      </c>
      <c r="H4" s="2">
        <f t="shared" si="0"/>
        <v>305745</v>
      </c>
    </row>
    <row r="5" spans="1:8">
      <c r="A5" t="s">
        <v>10</v>
      </c>
      <c r="B5" s="1">
        <v>40214</v>
      </c>
      <c r="C5" t="s">
        <v>11</v>
      </c>
      <c r="D5" t="s">
        <v>8</v>
      </c>
      <c r="E5" t="s">
        <v>9</v>
      </c>
      <c r="F5" s="2">
        <v>3597</v>
      </c>
      <c r="G5">
        <v>100</v>
      </c>
      <c r="H5" s="2">
        <f t="shared" si="0"/>
        <v>359700</v>
      </c>
    </row>
    <row r="6" spans="1:8">
      <c r="A6" t="s">
        <v>12</v>
      </c>
      <c r="B6" s="1">
        <v>40234</v>
      </c>
      <c r="C6" t="s">
        <v>13</v>
      </c>
      <c r="D6" t="s">
        <v>8</v>
      </c>
      <c r="E6" t="s">
        <v>9</v>
      </c>
      <c r="F6" s="2">
        <v>3597</v>
      </c>
      <c r="G6">
        <v>45</v>
      </c>
      <c r="H6" s="2">
        <f t="shared" si="0"/>
        <v>161865</v>
      </c>
    </row>
    <row r="7" spans="1:8">
      <c r="A7" t="s">
        <v>14</v>
      </c>
      <c r="B7" s="1">
        <v>40240</v>
      </c>
      <c r="C7" t="s">
        <v>15</v>
      </c>
      <c r="D7" t="s">
        <v>2</v>
      </c>
      <c r="E7" t="s">
        <v>3</v>
      </c>
      <c r="F7" s="2">
        <v>29205</v>
      </c>
      <c r="G7">
        <v>60</v>
      </c>
      <c r="H7" s="2">
        <f t="shared" si="0"/>
        <v>1752300</v>
      </c>
    </row>
    <row r="8" spans="1:8">
      <c r="A8" t="s">
        <v>16</v>
      </c>
      <c r="B8" s="1">
        <v>40244</v>
      </c>
      <c r="C8" t="s">
        <v>17</v>
      </c>
      <c r="D8" t="s">
        <v>18</v>
      </c>
      <c r="E8" t="s">
        <v>19</v>
      </c>
      <c r="F8" s="2">
        <v>9200</v>
      </c>
      <c r="G8">
        <v>15</v>
      </c>
      <c r="H8" s="2">
        <f t="shared" si="0"/>
        <v>138000</v>
      </c>
    </row>
    <row r="9" spans="1:8">
      <c r="A9" t="s">
        <v>20</v>
      </c>
      <c r="B9" s="1">
        <v>40248</v>
      </c>
      <c r="C9" t="s">
        <v>1</v>
      </c>
      <c r="D9" t="s">
        <v>2</v>
      </c>
      <c r="E9" t="s">
        <v>3</v>
      </c>
      <c r="F9" s="2">
        <v>29205</v>
      </c>
      <c r="G9">
        <v>65</v>
      </c>
      <c r="H9" s="2">
        <f t="shared" si="0"/>
        <v>1898325</v>
      </c>
    </row>
    <row r="10" spans="1:8">
      <c r="A10" t="s">
        <v>21</v>
      </c>
      <c r="B10" s="1">
        <v>40286</v>
      </c>
      <c r="C10" t="s">
        <v>5</v>
      </c>
      <c r="D10" t="s">
        <v>18</v>
      </c>
      <c r="E10" t="s">
        <v>19</v>
      </c>
      <c r="F10" s="2">
        <v>9200</v>
      </c>
      <c r="G10">
        <v>74</v>
      </c>
      <c r="H10" s="2">
        <f t="shared" si="0"/>
        <v>680800</v>
      </c>
    </row>
    <row r="11" spans="1:8">
      <c r="A11" t="s">
        <v>22</v>
      </c>
      <c r="B11" s="1">
        <v>40296</v>
      </c>
      <c r="C11" t="s">
        <v>7</v>
      </c>
      <c r="D11" t="s">
        <v>18</v>
      </c>
      <c r="E11" t="s">
        <v>23</v>
      </c>
      <c r="F11" s="2">
        <v>3500</v>
      </c>
      <c r="G11">
        <v>48</v>
      </c>
      <c r="H11" s="2">
        <f t="shared" si="0"/>
        <v>168000</v>
      </c>
    </row>
    <row r="12" spans="1:8">
      <c r="A12" t="s">
        <v>24</v>
      </c>
      <c r="B12" s="1">
        <v>40304</v>
      </c>
      <c r="C12" t="s">
        <v>11</v>
      </c>
      <c r="D12" t="s">
        <v>18</v>
      </c>
      <c r="E12" t="s">
        <v>19</v>
      </c>
      <c r="F12" s="2">
        <v>9200</v>
      </c>
      <c r="G12">
        <v>55</v>
      </c>
      <c r="H12" s="2">
        <f t="shared" si="0"/>
        <v>506000</v>
      </c>
    </row>
    <row r="13" spans="1:8">
      <c r="A13" t="s">
        <v>25</v>
      </c>
      <c r="B13" s="1">
        <v>40312</v>
      </c>
      <c r="C13" t="s">
        <v>13</v>
      </c>
      <c r="D13" t="s">
        <v>8</v>
      </c>
      <c r="E13" t="s">
        <v>9</v>
      </c>
      <c r="F13" s="2">
        <v>3597</v>
      </c>
      <c r="G13">
        <v>69</v>
      </c>
      <c r="H13" s="2">
        <f t="shared" si="0"/>
        <v>248193</v>
      </c>
    </row>
    <row r="14" spans="1:8">
      <c r="A14" t="s">
        <v>26</v>
      </c>
      <c r="B14" s="1">
        <v>40315</v>
      </c>
      <c r="C14" t="s">
        <v>15</v>
      </c>
      <c r="D14" t="s">
        <v>27</v>
      </c>
      <c r="E14" t="s">
        <v>28</v>
      </c>
      <c r="F14" s="2">
        <v>15000</v>
      </c>
      <c r="G14">
        <v>120</v>
      </c>
      <c r="H14" s="2">
        <f t="shared" si="0"/>
        <v>1800000</v>
      </c>
    </row>
    <row r="15" spans="1:8">
      <c r="A15" t="s">
        <v>29</v>
      </c>
      <c r="B15" s="1">
        <v>40351</v>
      </c>
      <c r="C15" t="s">
        <v>17</v>
      </c>
      <c r="D15" t="s">
        <v>30</v>
      </c>
      <c r="E15" t="s">
        <v>31</v>
      </c>
      <c r="F15" s="2">
        <v>2800</v>
      </c>
      <c r="G15">
        <v>150</v>
      </c>
      <c r="H15" s="2">
        <f t="shared" si="0"/>
        <v>420000</v>
      </c>
    </row>
    <row r="16" spans="1:8">
      <c r="A16" t="s">
        <v>32</v>
      </c>
      <c r="B16" s="1">
        <v>40354</v>
      </c>
      <c r="C16" t="s">
        <v>1</v>
      </c>
      <c r="D16" t="s">
        <v>27</v>
      </c>
      <c r="E16" t="s">
        <v>28</v>
      </c>
      <c r="F16" s="2">
        <v>15000</v>
      </c>
      <c r="G16">
        <v>20</v>
      </c>
      <c r="H16" s="2">
        <f t="shared" si="0"/>
        <v>300000</v>
      </c>
    </row>
    <row r="17" spans="1:8">
      <c r="A17" t="s">
        <v>33</v>
      </c>
      <c r="B17" s="1">
        <v>40356</v>
      </c>
      <c r="C17" t="s">
        <v>5</v>
      </c>
      <c r="D17" t="s">
        <v>34</v>
      </c>
      <c r="E17" t="s">
        <v>35</v>
      </c>
      <c r="F17" s="2">
        <v>3200</v>
      </c>
      <c r="G17">
        <v>35</v>
      </c>
      <c r="H17" s="2">
        <f t="shared" si="0"/>
        <v>112000</v>
      </c>
    </row>
    <row r="18" spans="1:8">
      <c r="A18" t="s">
        <v>36</v>
      </c>
      <c r="B18" s="1">
        <v>40360</v>
      </c>
      <c r="C18" t="s">
        <v>7</v>
      </c>
      <c r="D18" t="s">
        <v>34</v>
      </c>
      <c r="E18" t="s">
        <v>35</v>
      </c>
      <c r="F18" s="2">
        <v>3200</v>
      </c>
      <c r="G18">
        <v>48</v>
      </c>
      <c r="H18" s="2">
        <f t="shared" si="0"/>
        <v>153600</v>
      </c>
    </row>
    <row r="19" spans="1:8">
      <c r="A19" t="s">
        <v>37</v>
      </c>
      <c r="B19" s="1">
        <v>40362</v>
      </c>
      <c r="C19" t="s">
        <v>11</v>
      </c>
      <c r="D19" t="s">
        <v>30</v>
      </c>
      <c r="E19" t="s">
        <v>31</v>
      </c>
      <c r="F19" s="2">
        <v>2800</v>
      </c>
      <c r="G19">
        <v>39</v>
      </c>
      <c r="H19" s="2">
        <f t="shared" si="0"/>
        <v>109200</v>
      </c>
    </row>
    <row r="20" spans="1:8">
      <c r="A20" t="s">
        <v>38</v>
      </c>
      <c r="B20" s="1">
        <v>40364</v>
      </c>
      <c r="C20" t="s">
        <v>13</v>
      </c>
      <c r="D20" t="s">
        <v>27</v>
      </c>
      <c r="E20" t="s">
        <v>39</v>
      </c>
      <c r="F20" s="2">
        <v>12500</v>
      </c>
      <c r="G20">
        <v>85</v>
      </c>
      <c r="H20" s="2">
        <f t="shared" si="0"/>
        <v>1062500</v>
      </c>
    </row>
    <row r="21" spans="1:8">
      <c r="A21" t="s">
        <v>40</v>
      </c>
      <c r="B21" s="1">
        <v>40366</v>
      </c>
      <c r="C21" t="s">
        <v>15</v>
      </c>
      <c r="D21" t="s">
        <v>30</v>
      </c>
      <c r="E21" t="s">
        <v>31</v>
      </c>
      <c r="F21" s="2">
        <v>2800</v>
      </c>
      <c r="G21">
        <v>80</v>
      </c>
      <c r="H21" s="2">
        <f t="shared" si="0"/>
        <v>224000</v>
      </c>
    </row>
    <row r="22" spans="1:8">
      <c r="A22" t="s">
        <v>41</v>
      </c>
      <c r="B22" s="1">
        <v>40371</v>
      </c>
      <c r="C22" t="s">
        <v>17</v>
      </c>
      <c r="D22" t="s">
        <v>2</v>
      </c>
      <c r="E22" t="s">
        <v>42</v>
      </c>
      <c r="F22" s="2">
        <v>1600</v>
      </c>
      <c r="G22">
        <v>70</v>
      </c>
      <c r="H22" s="2">
        <f t="shared" si="0"/>
        <v>112000</v>
      </c>
    </row>
    <row r="23" spans="1:8">
      <c r="A23" t="s">
        <v>43</v>
      </c>
      <c r="B23" s="1">
        <v>40372</v>
      </c>
      <c r="C23" t="s">
        <v>1</v>
      </c>
      <c r="D23" t="s">
        <v>2</v>
      </c>
      <c r="E23" t="s">
        <v>44</v>
      </c>
      <c r="F23" s="2">
        <v>13000</v>
      </c>
      <c r="G23">
        <v>60</v>
      </c>
      <c r="H23" s="2">
        <f t="shared" si="0"/>
        <v>780000</v>
      </c>
    </row>
    <row r="24" spans="1:8">
      <c r="A24" t="s">
        <v>45</v>
      </c>
      <c r="B24" s="1">
        <v>40379</v>
      </c>
      <c r="C24" t="s">
        <v>5</v>
      </c>
      <c r="D24" t="s">
        <v>27</v>
      </c>
      <c r="E24" t="s">
        <v>46</v>
      </c>
      <c r="F24" s="2">
        <v>9500</v>
      </c>
      <c r="G24">
        <v>150</v>
      </c>
      <c r="H24" s="2">
        <f t="shared" si="0"/>
        <v>1425000</v>
      </c>
    </row>
    <row r="25" spans="1:8">
      <c r="A25" t="s">
        <v>47</v>
      </c>
      <c r="B25" s="1">
        <v>40380</v>
      </c>
      <c r="C25" t="s">
        <v>7</v>
      </c>
      <c r="D25" t="s">
        <v>8</v>
      </c>
      <c r="E25" t="s">
        <v>9</v>
      </c>
      <c r="F25" s="2">
        <v>3597</v>
      </c>
      <c r="G25">
        <v>180</v>
      </c>
      <c r="H25" s="2">
        <f t="shared" si="0"/>
        <v>647460</v>
      </c>
    </row>
    <row r="26" spans="1:8">
      <c r="A26" t="s">
        <v>48</v>
      </c>
      <c r="B26" s="1">
        <v>40384</v>
      </c>
      <c r="C26" t="s">
        <v>11</v>
      </c>
      <c r="D26" t="s">
        <v>30</v>
      </c>
      <c r="E26" t="s">
        <v>31</v>
      </c>
      <c r="F26" s="2">
        <v>2800</v>
      </c>
      <c r="G26">
        <v>260</v>
      </c>
      <c r="H26" s="2">
        <f t="shared" si="0"/>
        <v>728000</v>
      </c>
    </row>
    <row r="27" spans="1:8">
      <c r="A27" t="s">
        <v>49</v>
      </c>
      <c r="B27" s="1">
        <v>40386</v>
      </c>
      <c r="C27" t="s">
        <v>13</v>
      </c>
      <c r="D27" t="s">
        <v>34</v>
      </c>
      <c r="E27" t="s">
        <v>35</v>
      </c>
      <c r="F27" s="2">
        <v>3200</v>
      </c>
      <c r="G27">
        <v>300</v>
      </c>
      <c r="H27" s="2">
        <f t="shared" si="0"/>
        <v>960000</v>
      </c>
    </row>
    <row r="28" spans="1:8">
      <c r="A28" t="s">
        <v>50</v>
      </c>
      <c r="B28" s="1">
        <v>40387</v>
      </c>
      <c r="C28" t="s">
        <v>15</v>
      </c>
      <c r="D28" t="s">
        <v>2</v>
      </c>
      <c r="E28" t="s">
        <v>3</v>
      </c>
      <c r="F28" s="2">
        <v>29205</v>
      </c>
      <c r="G28">
        <v>350</v>
      </c>
      <c r="H28" s="2">
        <f t="shared" si="0"/>
        <v>10221750</v>
      </c>
    </row>
    <row r="29" spans="1:8">
      <c r="A29" t="s">
        <v>51</v>
      </c>
      <c r="B29" s="1">
        <v>40388</v>
      </c>
      <c r="C29" t="s">
        <v>17</v>
      </c>
      <c r="D29" t="s">
        <v>30</v>
      </c>
      <c r="E29" t="s">
        <v>31</v>
      </c>
      <c r="F29" s="2">
        <v>2800</v>
      </c>
      <c r="G29">
        <v>190</v>
      </c>
      <c r="H29" s="2">
        <f t="shared" si="0"/>
        <v>532000</v>
      </c>
    </row>
    <row r="30" spans="1:8">
      <c r="A30" t="s">
        <v>52</v>
      </c>
      <c r="B30" s="1">
        <v>40395</v>
      </c>
      <c r="C30" t="s">
        <v>1</v>
      </c>
      <c r="D30" t="s">
        <v>18</v>
      </c>
      <c r="E30" t="s">
        <v>23</v>
      </c>
      <c r="F30" s="2">
        <v>3500</v>
      </c>
      <c r="G30">
        <v>280</v>
      </c>
      <c r="H30" s="2">
        <f t="shared" si="0"/>
        <v>980000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Nitigan KMUTNB</dc:creator>
  <cp:lastModifiedBy>Jindanet</cp:lastModifiedBy>
  <dcterms:created xsi:type="dcterms:W3CDTF">2018-06-24T05:00:36Z</dcterms:created>
  <dcterms:modified xsi:type="dcterms:W3CDTF">2026-09-16T04:14:35Z</dcterms:modified>
</cp:coreProperties>
</file>